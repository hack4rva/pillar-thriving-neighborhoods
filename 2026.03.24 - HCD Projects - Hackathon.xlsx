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richmondgov-my.sharepoint.com/personal/rachel_hightman1_rva_gov/Documents/Desktop/Civic Hackathon/"/>
    </mc:Choice>
  </mc:AlternateContent>
  <xr:revisionPtr revIDLastSave="11382" documentId="11_F25DC773A252ABDACC1048D059DF65FE5ADE58FA" xr6:coauthVersionLast="47" xr6:coauthVersionMax="47" xr10:uidLastSave="{F4E246DF-962B-4759-9521-217F85626FA6}"/>
  <bookViews>
    <workbookView xWindow="28680" yWindow="-120" windowWidth="29040" windowHeight="15720" xr2:uid="{00000000-000D-0000-FFFF-FFFF00000000}"/>
  </bookViews>
  <sheets>
    <sheet name="AffordableHousingProjects" sheetId="35" r:id="rId1"/>
    <sheet name="References " sheetId="46" r:id="rId2"/>
  </sheets>
  <externalReferences>
    <externalReference r:id="rId3"/>
  </externalReferences>
  <definedNames>
    <definedName name="_xlnm._FilterDatabase" localSheetId="0" hidden="1">AffordableHousingProjects!$A$1:$Q$199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35" l="1"/>
  <c r="M39" i="35"/>
  <c r="M40" i="35"/>
  <c r="M147" i="35"/>
  <c r="M148" i="35"/>
  <c r="M149" i="35"/>
  <c r="M150" i="35"/>
  <c r="M151" i="35"/>
  <c r="M152" i="35"/>
  <c r="O152" i="35"/>
  <c r="M153" i="35"/>
  <c r="M154" i="35"/>
  <c r="M156" i="35"/>
  <c r="M158" i="35"/>
  <c r="M159" i="35"/>
  <c r="M161" i="35"/>
  <c r="M162" i="35"/>
  <c r="M163" i="35"/>
  <c r="M164" i="35"/>
  <c r="M165" i="35"/>
  <c r="M168" i="35"/>
  <c r="M171" i="35"/>
  <c r="E95" i="35"/>
  <c r="O95" i="35"/>
  <c r="E96" i="35"/>
  <c r="O96" i="35"/>
  <c r="E97" i="35"/>
  <c r="O97" i="35"/>
  <c r="E98" i="35"/>
  <c r="O98" i="35"/>
  <c r="E99" i="35"/>
  <c r="O99" i="35"/>
  <c r="E100" i="35"/>
  <c r="O100" i="35"/>
  <c r="E101" i="35"/>
  <c r="O101" i="35"/>
  <c r="E102" i="35"/>
  <c r="O102" i="35"/>
  <c r="E103" i="35"/>
  <c r="O103" i="35"/>
  <c r="E104" i="35"/>
  <c r="O104" i="35"/>
  <c r="E105" i="35"/>
  <c r="O105" i="35"/>
  <c r="E106" i="35"/>
  <c r="O106" i="35"/>
  <c r="E107" i="35"/>
  <c r="O107" i="35"/>
  <c r="E108" i="35"/>
  <c r="O108" i="35"/>
  <c r="E109" i="35"/>
  <c r="O109" i="35"/>
  <c r="O114" i="35"/>
  <c r="O115" i="35"/>
  <c r="O116" i="35"/>
  <c r="O117" i="35"/>
  <c r="O118" i="35"/>
  <c r="O119" i="35"/>
  <c r="O120" i="35"/>
  <c r="O121" i="35"/>
  <c r="O122" i="35"/>
  <c r="O123" i="35"/>
  <c r="O124" i="35"/>
  <c r="O125" i="35"/>
  <c r="O126" i="35"/>
  <c r="O127" i="35"/>
  <c r="M68" i="35" l="1"/>
  <c r="M67" i="35"/>
  <c r="M66" i="35"/>
  <c r="M65" i="35"/>
  <c r="M64" i="35"/>
  <c r="M63" i="35"/>
  <c r="M62" i="35"/>
  <c r="M61" i="35"/>
  <c r="M60" i="35"/>
  <c r="M59" i="35"/>
  <c r="M58" i="35"/>
  <c r="M57" i="35"/>
  <c r="M56" i="35"/>
  <c r="M55" i="35"/>
  <c r="M54" i="35"/>
  <c r="M52" i="35"/>
  <c r="M51" i="35"/>
  <c r="M50" i="35"/>
  <c r="M49" i="35"/>
  <c r="M48" i="35"/>
  <c r="M47" i="35"/>
  <c r="M46" i="35"/>
  <c r="M45" i="35"/>
  <c r="M43" i="35"/>
  <c r="O44" i="35"/>
  <c r="M44" i="35"/>
  <c r="M37" i="35"/>
  <c r="M33" i="35"/>
  <c r="M32" i="35"/>
  <c r="M31" i="35"/>
  <c r="M30" i="35"/>
  <c r="M29" i="35"/>
  <c r="M28" i="35"/>
  <c r="M27" i="35"/>
  <c r="M26" i="35"/>
  <c r="M8" i="35" l="1"/>
  <c r="M2" i="35"/>
  <c r="M199" i="35"/>
  <c r="M198" i="35"/>
  <c r="M197" i="35"/>
  <c r="M196" i="35"/>
  <c r="M195" i="35"/>
  <c r="M194" i="35"/>
  <c r="M193" i="35"/>
  <c r="M192" i="35"/>
  <c r="M191" i="35"/>
  <c r="M190" i="35"/>
  <c r="M189" i="35"/>
  <c r="M188" i="35"/>
  <c r="M187" i="35"/>
  <c r="M186" i="35"/>
  <c r="M185" i="35"/>
  <c r="M184" i="35"/>
  <c r="M183" i="35"/>
  <c r="M182" i="35"/>
  <c r="M181" i="35"/>
  <c r="M180" i="35"/>
  <c r="M179" i="35"/>
  <c r="M178" i="35"/>
  <c r="M177" i="35"/>
  <c r="M25" i="35"/>
  <c r="M24" i="35"/>
  <c r="M23" i="35"/>
  <c r="M18" i="35"/>
  <c r="M17" i="35"/>
  <c r="M16" i="35"/>
  <c r="M22" i="35"/>
  <c r="M21" i="35"/>
  <c r="M20" i="35"/>
  <c r="M15" i="35"/>
  <c r="M14" i="35"/>
  <c r="M13" i="35"/>
  <c r="M12" i="35"/>
  <c r="M7" i="35"/>
  <c r="M6" i="35"/>
  <c r="M11" i="35"/>
  <c r="M10" i="35"/>
  <c r="M9" i="35"/>
  <c r="M5" i="35"/>
  <c r="M4" i="35"/>
  <c r="M19" i="35" l="1"/>
  <c r="M3" i="35"/>
</calcChain>
</file>

<file path=xl/sharedStrings.xml><?xml version="1.0" encoding="utf-8"?>
<sst xmlns="http://schemas.openxmlformats.org/spreadsheetml/2006/main" count="1654" uniqueCount="454">
  <si>
    <t>Award Year</t>
  </si>
  <si>
    <t>Funding Source</t>
  </si>
  <si>
    <t>Funding Type</t>
  </si>
  <si>
    <t>Project Description</t>
  </si>
  <si>
    <t>Construction Status</t>
  </si>
  <si>
    <t>Program</t>
  </si>
  <si>
    <t>FY2021</t>
  </si>
  <si>
    <t>Federal Entitlement - HOME</t>
  </si>
  <si>
    <t>Grant</t>
  </si>
  <si>
    <t>Single Family New Construction (Homeownership)</t>
  </si>
  <si>
    <t>Pre-Development</t>
  </si>
  <si>
    <t>AHPG</t>
  </si>
  <si>
    <t>FY2022</t>
  </si>
  <si>
    <t>Federal Entitlement - HOME-ARP</t>
  </si>
  <si>
    <t>Forgivable Loan</t>
  </si>
  <si>
    <t>Owner-Occupied Rehabilitation</t>
  </si>
  <si>
    <t>Under Construction</t>
  </si>
  <si>
    <t>EAHP-AHTF</t>
  </si>
  <si>
    <t>FY2023</t>
  </si>
  <si>
    <t>Federal Entitlement - CDBG</t>
  </si>
  <si>
    <t>Low-Interest Loan</t>
  </si>
  <si>
    <t>Rental Preservation</t>
  </si>
  <si>
    <t>Completed</t>
  </si>
  <si>
    <t>HighlandGrove</t>
  </si>
  <si>
    <t>FY2024</t>
  </si>
  <si>
    <t>Federal Entitlement - CDBG-CV</t>
  </si>
  <si>
    <t>Tax Rebate</t>
  </si>
  <si>
    <t>Multifamily New Construction (Rental)</t>
  </si>
  <si>
    <t>CreightonCt</t>
  </si>
  <si>
    <t>FY2025</t>
  </si>
  <si>
    <t>Federal Entitlement - ESG</t>
  </si>
  <si>
    <t>Tax Abatement</t>
  </si>
  <si>
    <t>Multifamily Adaptive Re-use (Rental)</t>
  </si>
  <si>
    <t>AHTF-HH</t>
  </si>
  <si>
    <t>FY2026</t>
  </si>
  <si>
    <t>Federal Entitlement - HOPWA</t>
  </si>
  <si>
    <t>Emergency Shelter</t>
  </si>
  <si>
    <t>PartialTaxExemption</t>
  </si>
  <si>
    <t>FY2027</t>
  </si>
  <si>
    <t>Federal - ARPA</t>
  </si>
  <si>
    <t>Permanent Supportive Housing</t>
  </si>
  <si>
    <t>CARES</t>
  </si>
  <si>
    <t>FY2028</t>
  </si>
  <si>
    <t>City - AHTF</t>
  </si>
  <si>
    <t>Rental Assistance</t>
  </si>
  <si>
    <t>Non-Departmental</t>
  </si>
  <si>
    <t>City - Non-Departmental Grant</t>
  </si>
  <si>
    <t>Down Payment Assistance</t>
  </si>
  <si>
    <t>ARPA-Development</t>
  </si>
  <si>
    <t>City - Manufactured Home Park Initiative</t>
  </si>
  <si>
    <t>Housing Related Service/Case Management</t>
  </si>
  <si>
    <t>ARPA-Services</t>
  </si>
  <si>
    <t>City - Affordable Housing Performance Grant</t>
  </si>
  <si>
    <t>Affordable Housing Performance Grant</t>
  </si>
  <si>
    <t>ARPA-HH</t>
  </si>
  <si>
    <t>City - Partial Tax Exemption Program</t>
  </si>
  <si>
    <t>Eviction Diverson</t>
  </si>
  <si>
    <t>ARPA-PH</t>
  </si>
  <si>
    <t>Federal Entitlement - ESG-CV</t>
  </si>
  <si>
    <t>Homeless Connection Line</t>
  </si>
  <si>
    <t>MFHPI</t>
  </si>
  <si>
    <t>Federal Entitlement - HOPWA-CV</t>
  </si>
  <si>
    <t>Right to Counsel</t>
  </si>
  <si>
    <t>HOME</t>
  </si>
  <si>
    <t>Federal - CARES Act</t>
  </si>
  <si>
    <t>Housing Resource Line</t>
  </si>
  <si>
    <t>HOME-ARP</t>
  </si>
  <si>
    <t>CDBG</t>
  </si>
  <si>
    <t>CDBG-CV</t>
  </si>
  <si>
    <t>ESG</t>
  </si>
  <si>
    <t>ESG-CV</t>
  </si>
  <si>
    <t>HOPWA</t>
  </si>
  <si>
    <t>HOPWA-CV</t>
  </si>
  <si>
    <t>Subrecipient /Developer</t>
  </si>
  <si>
    <t>Project Address</t>
  </si>
  <si>
    <t>Location</t>
  </si>
  <si>
    <t>City Council District</t>
  </si>
  <si>
    <t>Parcel PIN</t>
  </si>
  <si>
    <t>Completion Date/Expected Completion Date</t>
  </si>
  <si>
    <t>Fiscal Year Completion</t>
  </si>
  <si>
    <t>No. of Affordable Units</t>
  </si>
  <si>
    <t>Other Sources of Funding</t>
  </si>
  <si>
    <t>Will Hamnett/311 Condie Street, LLC</t>
  </si>
  <si>
    <t>1641 W. Grace St</t>
  </si>
  <si>
    <t>109 E. Broad, LLC</t>
  </si>
  <si>
    <t>Hammond Lofts</t>
  </si>
  <si>
    <t>109 E. Broad St</t>
  </si>
  <si>
    <t>Catalyst Development Company</t>
  </si>
  <si>
    <t>Rail Yards Flats</t>
  </si>
  <si>
    <t>104 E 2nd St</t>
  </si>
  <si>
    <t>Idlewood HRC/Michael Meers Audeo Partners</t>
  </si>
  <si>
    <t>Carousel Apts</t>
  </si>
  <si>
    <t>2400 Grayland Avenue</t>
  </si>
  <si>
    <t>Project:HOMES</t>
  </si>
  <si>
    <t>Mosby Street</t>
  </si>
  <si>
    <t>815-821 Mosby Street</t>
  </si>
  <si>
    <t>1903 Semmes LLC</t>
  </si>
  <si>
    <t>S0000302008, S0000302012</t>
  </si>
  <si>
    <t>Liberty Townhomes LLC</t>
  </si>
  <si>
    <t>Townhomes at Liberty Place</t>
  </si>
  <si>
    <t>2717 E. Belt Blvd. Richmond, VA 23224</t>
  </si>
  <si>
    <t>1203 E Brookland, LLC</t>
  </si>
  <si>
    <t>N0000917006, N0000917013, N0000917014</t>
  </si>
  <si>
    <t>EAHP, HOME</t>
  </si>
  <si>
    <t>The Community Builders</t>
  </si>
  <si>
    <t>Armstrong Renaissance Phase 2B</t>
  </si>
  <si>
    <t>Douglas Dev</t>
  </si>
  <si>
    <t>Sevilla Residences</t>
  </si>
  <si>
    <t>105 N Jefferson St</t>
  </si>
  <si>
    <t>The 95 Apts, LLC</t>
  </si>
  <si>
    <t>S0000220003</t>
  </si>
  <si>
    <t>ARPA</t>
  </si>
  <si>
    <t>512 Hull Street, LLC</t>
  </si>
  <si>
    <t>S0000076001</t>
  </si>
  <si>
    <t>Pennrose</t>
  </si>
  <si>
    <t>Diamond District 9%</t>
  </si>
  <si>
    <t>2728 Hermitage Rd</t>
  </si>
  <si>
    <t>Lynhaven Ridge VA LLC</t>
  </si>
  <si>
    <t>S0080418001</t>
  </si>
  <si>
    <t>The Hanson Companies</t>
  </si>
  <si>
    <t>Old Manchester Plaza</t>
  </si>
  <si>
    <t>Saint Elizabeth Apartments LLC</t>
  </si>
  <si>
    <t>N0000803002</t>
  </si>
  <si>
    <t>1400 Hull Owner, LLC</t>
  </si>
  <si>
    <t>S0000153016, S0000153018</t>
  </si>
  <si>
    <t>Better Housing Coalition</t>
  </si>
  <si>
    <t>Cameo Street</t>
  </si>
  <si>
    <t>14 W. Jackson St.
Richmond, VA 23220</t>
  </si>
  <si>
    <t>Genesis</t>
  </si>
  <si>
    <t>101 West Commerce</t>
  </si>
  <si>
    <t>Bellevue Gardens VA LLC</t>
  </si>
  <si>
    <t>N0170390023</t>
  </si>
  <si>
    <t>EAHP</t>
  </si>
  <si>
    <t>809 Oliver Hill Way LLC</t>
  </si>
  <si>
    <t>E0000318003</t>
  </si>
  <si>
    <t>Support Works</t>
  </si>
  <si>
    <t>Rady Street</t>
  </si>
  <si>
    <t>2900 Rady St</t>
  </si>
  <si>
    <t>2100 Bainbridge, LLC</t>
  </si>
  <si>
    <t>S0000413001</t>
  </si>
  <si>
    <t>Swansboro Place, LLC</t>
  </si>
  <si>
    <t>S0000354010, S0000354019</t>
  </si>
  <si>
    <t>ARPA, HOME</t>
  </si>
  <si>
    <t>1500 Hull Owner, LLC</t>
  </si>
  <si>
    <t>S0000197017</t>
  </si>
  <si>
    <t>The View at Belle Isle, LP</t>
  </si>
  <si>
    <t>S0000080001</t>
  </si>
  <si>
    <t>The Michaels Development Co.</t>
  </si>
  <si>
    <t>Richmond Family 1 (AHTF)</t>
  </si>
  <si>
    <t>New Manchester Flats VI Multifamily, LLC</t>
  </si>
  <si>
    <t>S0000385004</t>
  </si>
  <si>
    <t>EAHP, ARPA</t>
  </si>
  <si>
    <t>Walmsley Senior, LLC</t>
  </si>
  <si>
    <t>C0080745024, C0080745028, C0080745026, C0080745030, C0080745031, C0080745032, C0080745033</t>
  </si>
  <si>
    <t>700 West 44th, LP</t>
  </si>
  <si>
    <t>S0053315011</t>
  </si>
  <si>
    <t>Afton Avenue Apartments, LLC</t>
  </si>
  <si>
    <t>S0080237001</t>
  </si>
  <si>
    <t>6951 Carnation Multifamily, LLC</t>
  </si>
  <si>
    <t>C0050879008</t>
  </si>
  <si>
    <t>Refuge Apartments, LP (Snead Road)</t>
  </si>
  <si>
    <t>C0080660070, C0080660060, C0080660064</t>
  </si>
  <si>
    <t>Beacon Communities</t>
  </si>
  <si>
    <t>Blue Ridge Estates</t>
  </si>
  <si>
    <t>6507 Sugar Maple Dr</t>
  </si>
  <si>
    <t>Walmsley Gardens, LLC</t>
  </si>
  <si>
    <t>7000 Carnation, LLC</t>
  </si>
  <si>
    <t>C0050776004</t>
  </si>
  <si>
    <t>Standard Development Partners, LLC (250 E. German School Road)</t>
  </si>
  <si>
    <t>C0060925002</t>
  </si>
  <si>
    <t>Oak Grove Multifamily, LLC</t>
  </si>
  <si>
    <t>S0000863001</t>
  </si>
  <si>
    <t>ECG Semmes, LP</t>
  </si>
  <si>
    <t>S0000492001, S0000493002, S0000493007, S0000493001, S0000493021, S0000491024, S0000489001, S0000489005, S0000489012, S0000491038, S0000418001, S0000418003, S0000418019, S0000418021, S0000418022, S0000418023, and S0000418024</t>
  </si>
  <si>
    <t>Dakota Partners</t>
  </si>
  <si>
    <t>The Heights at Brady Square</t>
  </si>
  <si>
    <t>The Community Builders, Inc.</t>
  </si>
  <si>
    <t>Creighton Court - Infrastructure</t>
  </si>
  <si>
    <t>2101 Creighton Rd.
Richmond, VA 23223</t>
  </si>
  <si>
    <t>ARPA, AHTF, HOME, CIP</t>
  </si>
  <si>
    <t>project:HOMES</t>
  </si>
  <si>
    <t>Owner Occupied</t>
  </si>
  <si>
    <t>Rehabilitation of Mobile Homes</t>
  </si>
  <si>
    <t>Southside</t>
  </si>
  <si>
    <t>Partial Tax Exemptiion</t>
  </si>
  <si>
    <t>ARPA, AHPG</t>
  </si>
  <si>
    <t>VSH</t>
  </si>
  <si>
    <t xml:space="preserve">Cool Lane Apts </t>
  </si>
  <si>
    <t>Chris Farag/Mountain Road #2, LLC</t>
  </si>
  <si>
    <t xml:space="preserve"> </t>
  </si>
  <si>
    <t>8 S. Plum St</t>
  </si>
  <si>
    <t>Urban Hope</t>
  </si>
  <si>
    <t>Urban Hope
Renewal Project 1</t>
  </si>
  <si>
    <t>1903 N. 23rd Street</t>
  </si>
  <si>
    <t>E0120396013</t>
  </si>
  <si>
    <t>St. Francis Homes Inc.</t>
  </si>
  <si>
    <t>St. Francis Manchester I &amp; II</t>
  </si>
  <si>
    <t>65 W. Clopton St</t>
  </si>
  <si>
    <t>Genesis Properties, Inc.</t>
  </si>
  <si>
    <t>Swansboro Apartments</t>
  </si>
  <si>
    <t>The Michaels Development Company</t>
  </si>
  <si>
    <t>Richmond Family 2</t>
  </si>
  <si>
    <t>Randolph Apartments: 1801-1926 Idlewood Ave</t>
  </si>
  <si>
    <t>W0000805001</t>
  </si>
  <si>
    <t>Lafayette Gardens</t>
  </si>
  <si>
    <t xml:space="preserve">2219 Ruffin Road, Richmond, VA </t>
  </si>
  <si>
    <t>Ruffin Apartments</t>
  </si>
  <si>
    <t>South Gate Apartments</t>
  </si>
  <si>
    <t>Center Creek Homes</t>
  </si>
  <si>
    <t xml:space="preserve">Center Creek Homes </t>
  </si>
  <si>
    <t>project:HOME</t>
  </si>
  <si>
    <t>HP Affordable Homeownership</t>
  </si>
  <si>
    <t>Richmond Metro Habitat for Humanity</t>
  </si>
  <si>
    <t>Richmond Habitat</t>
  </si>
  <si>
    <t>Pipeline Affordable Housing</t>
  </si>
  <si>
    <t>2 separate lots</t>
  </si>
  <si>
    <t>Blackwell Affordable Homeownership</t>
  </si>
  <si>
    <t>Jackson Ward Affordable</t>
  </si>
  <si>
    <t>708-714 Saint James Street</t>
  </si>
  <si>
    <t>Constructing Safe and Affordable Housing</t>
  </si>
  <si>
    <t>Increasing Equitable Affordable Housing</t>
  </si>
  <si>
    <t>MWCLT</t>
  </si>
  <si>
    <t>Oak Grove</t>
  </si>
  <si>
    <t>2200 Ingram Ave
Richmond, VA 23224</t>
  </si>
  <si>
    <t> </t>
  </si>
  <si>
    <t>Southside Community Development and Housing Corporation</t>
  </si>
  <si>
    <t>The Hollands</t>
  </si>
  <si>
    <t>Richmond Habitat for Humanity</t>
  </si>
  <si>
    <t>Increasing Affordable Housing</t>
  </si>
  <si>
    <t>Eastend Affordable</t>
  </si>
  <si>
    <t>Revitalizing Blighted Properties</t>
  </si>
  <si>
    <t>Southside Community Development &amp; Housing Corporation</t>
  </si>
  <si>
    <t>Blackwell</t>
  </si>
  <si>
    <t>1800, 1804, 1806 Albany Ave, 2110 and 2112 Edwards Ave.</t>
  </si>
  <si>
    <t>Oak Grove Townhomes</t>
  </si>
  <si>
    <t>2200 Ingram Ave</t>
  </si>
  <si>
    <t>2004 Carver St</t>
  </si>
  <si>
    <t>E0001237027</t>
  </si>
  <si>
    <t>Matthews at Chestnut Hill</t>
  </si>
  <si>
    <t>Highland Grove</t>
  </si>
  <si>
    <t>Marlyn Development</t>
  </si>
  <si>
    <t>Brady Square I</t>
  </si>
  <si>
    <t>Brady Square II</t>
  </si>
  <si>
    <t>Brady Square III</t>
  </si>
  <si>
    <t>Brady Square IV</t>
  </si>
  <si>
    <t>Standard Development</t>
  </si>
  <si>
    <t>Joyfield at German School</t>
  </si>
  <si>
    <t>Award Amount</t>
  </si>
  <si>
    <t>Cameo Apartments</t>
  </si>
  <si>
    <t>14 West Jackson Street</t>
  </si>
  <si>
    <t>Creighton Phase A</t>
  </si>
  <si>
    <t>2101 Creighton Rd 23223</t>
  </si>
  <si>
    <t>2224 Highland Grove Dr. (80% AMI)
2228 Highland Grove Dr. (80% AMI)
2232 Highland Grove Dr. (80% AMI)
2236 Highland Grove Dr. (80% AMI)
2240 Highland Grove Dr. (80% AMI)
2244 Highland Grove Dr. (80% AMI)
2240 Highland Grove Dr. (120% AMI)</t>
  </si>
  <si>
    <t>1903 Semmes Ave</t>
  </si>
  <si>
    <t>Lynx Ventures</t>
  </si>
  <si>
    <t>6951 Carnation Pl</t>
  </si>
  <si>
    <t>6951 W Carnation St</t>
  </si>
  <si>
    <t>New Manchester VI</t>
  </si>
  <si>
    <t>1021 East 4th St</t>
  </si>
  <si>
    <t>Surber Dev</t>
  </si>
  <si>
    <t>Bellevue Garden</t>
  </si>
  <si>
    <t>near 1717 Bellevue Ave, 3940 &amp; 3950 Rosedale Ave (3924 Rosedale Ave)</t>
  </si>
  <si>
    <t>Commonwealth Catholic Charities</t>
  </si>
  <si>
    <t>809 Oliver Hill Way</t>
  </si>
  <si>
    <t>Canterbury Dev</t>
  </si>
  <si>
    <t>Swansboro Place</t>
  </si>
  <si>
    <t>2008 Hull St. &amp; 2006 Hull St.</t>
  </si>
  <si>
    <t>Elmington</t>
  </si>
  <si>
    <t>Semmes Flats</t>
  </si>
  <si>
    <t>2201 McDonough St</t>
  </si>
  <si>
    <t>VST Swansboro, LLC/Genesis Properties</t>
  </si>
  <si>
    <t>3600 E. Broad Rock Blvd</t>
  </si>
  <si>
    <t>VST Swansboro LLC/Genesis Properties</t>
  </si>
  <si>
    <t>3601 E. Broad Rock Blvd</t>
  </si>
  <si>
    <t xml:space="preserve">Lafayette Gardens, LLC / Better Housing Coalition </t>
  </si>
  <si>
    <t>2209 Ruffin Road</t>
  </si>
  <si>
    <t>2006 Carver St</t>
  </si>
  <si>
    <t>1624 Pollock St</t>
  </si>
  <si>
    <t>1625 Pollock St</t>
  </si>
  <si>
    <t>207 E. Ladies Mile Road</t>
  </si>
  <si>
    <t>209 E. Ladies Mile Road</t>
  </si>
  <si>
    <t>E0001237026</t>
  </si>
  <si>
    <t>211 E. Ladies Mile Road</t>
  </si>
  <si>
    <t>N0001550002</t>
  </si>
  <si>
    <t>213 E. Ladies Mile Road</t>
  </si>
  <si>
    <t>N0001550047</t>
  </si>
  <si>
    <t>1204 North 19th St</t>
  </si>
  <si>
    <t>E0000552016</t>
  </si>
  <si>
    <t>1204.5 North 19th St</t>
  </si>
  <si>
    <t>E0000552017</t>
  </si>
  <si>
    <t>1206 North 19th St</t>
  </si>
  <si>
    <t>E0000552018</t>
  </si>
  <si>
    <t>1206.5 North 19th St</t>
  </si>
  <si>
    <t>E0000552019</t>
  </si>
  <si>
    <t xml:space="preserve">1207 North 19th St </t>
  </si>
  <si>
    <t>E0000554019</t>
  </si>
  <si>
    <t xml:space="preserve">1208 North 19th St </t>
  </si>
  <si>
    <t>E0000552020</t>
  </si>
  <si>
    <t xml:space="preserve">1208.5 North 19th St </t>
  </si>
  <si>
    <t>E0000552021</t>
  </si>
  <si>
    <t>Lynx Ventures, Inc.</t>
  </si>
  <si>
    <t>7000 Carnation</t>
  </si>
  <si>
    <t>Creighton Court Phase A</t>
  </si>
  <si>
    <t>Urban Hope
Renewal Project 2</t>
  </si>
  <si>
    <t>1235 N. 35th Street</t>
  </si>
  <si>
    <t>E0001408018</t>
  </si>
  <si>
    <t>Urban Hope
Renewal Project 3</t>
  </si>
  <si>
    <t>1807 N 22nd Street</t>
  </si>
  <si>
    <t>E0001081014</t>
  </si>
  <si>
    <t>Urban Hope
Renewal Project 4</t>
  </si>
  <si>
    <t xml:space="preserve">1425 N. 19th Street </t>
  </si>
  <si>
    <t>E0000770012</t>
  </si>
  <si>
    <t>Urban Hope
Renewal Project 5</t>
  </si>
  <si>
    <t>1431 Rogers Street</t>
  </si>
  <si>
    <t>E0000771023</t>
  </si>
  <si>
    <t>Urban Hope
Renewal Project 6</t>
  </si>
  <si>
    <t>1006 N. 26th Street</t>
  </si>
  <si>
    <t>E0000474014</t>
  </si>
  <si>
    <t>Urban Hope
Renewal Project 7</t>
  </si>
  <si>
    <t>1008 N. 26th Street</t>
  </si>
  <si>
    <t>E0000474013</t>
  </si>
  <si>
    <t>Urban Hope
Renewal Project 8</t>
  </si>
  <si>
    <t>1107 N. 29th Street</t>
  </si>
  <si>
    <t>E0000568028</t>
  </si>
  <si>
    <t>Urban Hope
Renewal Project 9</t>
  </si>
  <si>
    <t>1213 N. 35th Street #1 and #2</t>
  </si>
  <si>
    <t>E0001408007</t>
  </si>
  <si>
    <t>Urban Hope
Renewal Project 10</t>
  </si>
  <si>
    <t>1231 N. 38th Street</t>
  </si>
  <si>
    <t>E0001768015</t>
  </si>
  <si>
    <t>Urban Hope
Renewal Project 11</t>
  </si>
  <si>
    <t>1233 N. 38th Street</t>
  </si>
  <si>
    <t>E0001768016</t>
  </si>
  <si>
    <t>Urban Hope
Renewal Project 12</t>
  </si>
  <si>
    <t>1402 Oakwood Avenue</t>
  </si>
  <si>
    <t>E0001271028</t>
  </si>
  <si>
    <t>Urban Hope
Renewal Project 13</t>
  </si>
  <si>
    <t>3516 E. Richmond Road #1</t>
  </si>
  <si>
    <t>E0001763062</t>
  </si>
  <si>
    <t>Urban Hope
Renewal Project 14</t>
  </si>
  <si>
    <t>1701 N. 21st Street</t>
  </si>
  <si>
    <t>E0000938012</t>
  </si>
  <si>
    <t>The Lawson Companies, Inc.</t>
  </si>
  <si>
    <t>700 West 44th Street (9%)</t>
  </si>
  <si>
    <t>700 West 44th Street, Richmond, VA 23225</t>
  </si>
  <si>
    <t>The View at Belle Isle Apartments</t>
  </si>
  <si>
    <t>812 Hull Street, Richmond, VA 23224</t>
  </si>
  <si>
    <t>N0000124038</t>
  </si>
  <si>
    <t>Afton Ave Apartments</t>
  </si>
  <si>
    <t>Creighton Court Phase B</t>
  </si>
  <si>
    <t>E0000955012</t>
  </si>
  <si>
    <t>AHTF, HOME, CIP</t>
  </si>
  <si>
    <t>C0090534092</t>
  </si>
  <si>
    <t>S0080670001</t>
  </si>
  <si>
    <t>Bainbridge Affordable Rental</t>
  </si>
  <si>
    <t>2100 Bainbridge St. Richmond, VA 23224</t>
  </si>
  <si>
    <t>2100 Bainbridge St, Richmond, VA 23224</t>
  </si>
  <si>
    <t>Oak Grove Apartments</t>
  </si>
  <si>
    <t>2200 Ingram Avenue Richmond, VA 23224</t>
  </si>
  <si>
    <t>S0000863001, S0000863017</t>
  </si>
  <si>
    <t>Commonwealth Catholic Charities (CCC)</t>
  </si>
  <si>
    <t>Saint Elizabeth Apartments</t>
  </si>
  <si>
    <t>Crescent Development</t>
  </si>
  <si>
    <t>Walmsley Gardens</t>
  </si>
  <si>
    <t>Enterprise Community Development</t>
  </si>
  <si>
    <t>1203 E. Brookland Park</t>
  </si>
  <si>
    <t>1203 E. Brookland Park Blvd, Richmond, VA 23222</t>
  </si>
  <si>
    <t>N0000917006</t>
  </si>
  <si>
    <t>HOME, AHPG</t>
  </si>
  <si>
    <t>Dodson Development</t>
  </si>
  <si>
    <t>The 95 Apartments</t>
  </si>
  <si>
    <t xml:space="preserve">500 Maury St, Richmond, VA </t>
  </si>
  <si>
    <t>E0000370028, E0000370030</t>
  </si>
  <si>
    <t>New Manchester Flats IV</t>
  </si>
  <si>
    <t>1021 E. 4th Street Richmond, VA 23224</t>
  </si>
  <si>
    <t>9/31/2026</t>
  </si>
  <si>
    <t>EAHP, AHPG</t>
  </si>
  <si>
    <t>Crieghton Court - Phase A</t>
  </si>
  <si>
    <t>Units are counted in prior award</t>
  </si>
  <si>
    <t>1203 East Brookland Park Boulevard</t>
  </si>
  <si>
    <t>Project Homes</t>
  </si>
  <si>
    <t>Crieghton Court - Affordable Homeownership</t>
  </si>
  <si>
    <t>Lynhaven Ridge</t>
  </si>
  <si>
    <t>Richmond Metropolitan Habitat for Humanity</t>
  </si>
  <si>
    <t>Expanding Affordable, Equitable Homeownership Opportunities in Richmond</t>
  </si>
  <si>
    <t>Comprehensive Home Repair</t>
  </si>
  <si>
    <t>SupportWorks</t>
  </si>
  <si>
    <t>Rady Street Apartments</t>
  </si>
  <si>
    <t>Citywide Critical Home Repair</t>
  </si>
  <si>
    <t>Highland Grove Single Family Construction</t>
  </si>
  <si>
    <t>Home Repairs in the City of Richmond for Households Earning 0-80% AMI</t>
  </si>
  <si>
    <t>Owner-Occupied Home Repair</t>
  </si>
  <si>
    <t>Critical Home Repair - Habitat</t>
  </si>
  <si>
    <t>Rebuilding Together</t>
  </si>
  <si>
    <t>Critical Home Repair Program - RT</t>
  </si>
  <si>
    <t>Critical Home Repairs in the City of Richmond</t>
  </si>
  <si>
    <t xml:space="preserve">Richmond Metro Habitat for Humanity </t>
  </si>
  <si>
    <t>Critical Home Repair</t>
  </si>
  <si>
    <t>Owner-Occupied</t>
  </si>
  <si>
    <t>Owner Occupied Rehab</t>
  </si>
  <si>
    <t xml:space="preserve">Rebuilding Together </t>
  </si>
  <si>
    <t>Exterior Home Repairs</t>
  </si>
  <si>
    <t xml:space="preserve">Church Hill Affordable </t>
  </si>
  <si>
    <t>North Oak</t>
  </si>
  <si>
    <t>New Construction - 2013 Albany Ave</t>
  </si>
  <si>
    <t>New construction - 2312 Marion Mashore St.</t>
  </si>
  <si>
    <t>New Construction - 2314 Marion Mashore St.</t>
  </si>
  <si>
    <t>New construction - 3215 Lawson Street</t>
  </si>
  <si>
    <t>Healthy Homes - ARPA</t>
  </si>
  <si>
    <t>Healthy Homes - AHTF</t>
  </si>
  <si>
    <t>S0071164002, S0071164002B</t>
  </si>
  <si>
    <t>E0000955021, E0000955022, E0000955023, E0000955024, E0000955025, E0000955026, E0000955027, E0000955028</t>
  </si>
  <si>
    <t>3600 E. Broad Rock Blvd Rd, Richmond, VA 23224; 3601 E. Broad Rock Blvd Rd, Richmond, VA 2322</t>
  </si>
  <si>
    <t>S0071063006, S0071063006B,  S0002760006, S0002760006B</t>
  </si>
  <si>
    <t>S0080237007, S0080237001</t>
  </si>
  <si>
    <t>2400 Afton Ave. Richmond, VA 2322; 2420 Afton Ave. Richmond, VA 23224</t>
  </si>
  <si>
    <t>ElderHomes Corporation t/a Project: Homes</t>
  </si>
  <si>
    <t xml:space="preserve">1317 Richmond Highway, Richmond, VA; 1031 Fourqurean Lane; 1031 Rear Fourqurean Lane; 1101 Fourqurean Lane; </t>
  </si>
  <si>
    <t>S0071126009; N0000803002; N0000803063; N0000803002</t>
  </si>
  <si>
    <t>1800 Maury Street; 1804 Maury Street; 1806 Maury Street; 2110 Edwards Ave; 2112 Edwards Ave</t>
  </si>
  <si>
    <t>S0000233018; S0000233019; S0000233020; S0000458005; S0000458024</t>
  </si>
  <si>
    <t>2207 Perry Street; 2209 Perry Street; 2211 Perry Street; 2213 Perry Street; 2215 Perry Street; 2217 Perry Street; 2219 Perry Street; 2221 Perry Street; 2223 Perry Street</t>
  </si>
  <si>
    <t>S0000491062; S0000491061; S0000491060; S0000491059; S0000491058; S0000491057; S0000491056; S0000491055; S0000491054</t>
  </si>
  <si>
    <t>3330-3338 Broad Rock Boulevard; 4824 Walmsley Blvd; 4818 Walmsley Blvd; 4830 Walmsley Blvd; 4838 Walmsley Blvd; 4850 Walmsley Blvd; 4870 Walmsley Blvd; 4890 Walmsley Blvd</t>
  </si>
  <si>
    <t>C0080745010; C0080745026; C0080745024; C0080745028; C0080745030; C0080745031; C0080745032; C0080745033</t>
  </si>
  <si>
    <r>
      <rPr>
        <b/>
        <sz val="11"/>
        <color rgb="FFFFFFFF"/>
        <rFont val="Calibri"/>
        <family val="2"/>
      </rPr>
      <t>Project Name</t>
    </r>
  </si>
  <si>
    <r>
      <rPr>
        <b/>
        <sz val="11"/>
        <color rgb="FFFFFFFF"/>
        <rFont val="Calibri"/>
        <family val="2"/>
      </rPr>
      <t>Project Description</t>
    </r>
  </si>
  <si>
    <t>The Maggie Walker Community Land Trust</t>
  </si>
  <si>
    <t>Healthy Homes Rehabilitation</t>
  </si>
  <si>
    <t>Notes</t>
  </si>
  <si>
    <t>Award amount is estimated first-year grant amount</t>
  </si>
  <si>
    <t>2101 Creighton Rd. Richmond, VA 23223</t>
  </si>
  <si>
    <t>7000 W. Carnation St. Richmond, VA 23225</t>
  </si>
  <si>
    <t>3448.5 Maury St. Richmond, VA 23224</t>
  </si>
  <si>
    <t>Refuge Apartments, LP</t>
  </si>
  <si>
    <t>1628 Matthews Heights Phase IV</t>
  </si>
  <si>
    <t>2351 Krause Street</t>
  </si>
  <si>
    <t>2013 R Street</t>
  </si>
  <si>
    <t>3109 and 3111 North 1st Street</t>
  </si>
  <si>
    <t>2404 Marion Street</t>
  </si>
  <si>
    <t>1706 Jacqueline Court, 1708 Jacqueline Court, 1509 Kansas, 2019 2nd Avenue, 912-916 Slate Street</t>
  </si>
  <si>
    <t>14 W. Jackson St. Richmond, VA 23220</t>
  </si>
  <si>
    <t>3100 Nine Mile Rd. Richmond, VA 23223</t>
  </si>
  <si>
    <t>629 Ellens Haven Alley, Richmond, VA; 633 Ellens Haven Alley, Richmond, VA</t>
  </si>
  <si>
    <t>1616 N 28th Street, 1626 N 27th Street, 1108 N 26th Street</t>
  </si>
  <si>
    <t>617 West Laburnum Avenue</t>
  </si>
  <si>
    <t>2013 Albany Ave</t>
  </si>
  <si>
    <t>3215 Lawson Street</t>
  </si>
  <si>
    <t xml:space="preserve"> 2312 Marion Mashore St.</t>
  </si>
  <si>
    <t>2314 Marion Mashore St.v</t>
  </si>
  <si>
    <t>2900 Rady Street</t>
  </si>
  <si>
    <t>1900 Cool Lane</t>
  </si>
  <si>
    <t>2351 Krouse St, Richmond, VA 23234</t>
  </si>
  <si>
    <t>250 E. German School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</si>
</sst>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33333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</font>
    <font>
      <sz val="11"/>
      <color rgb="FF262626"/>
      <name val="Calibri"/>
      <family val="2"/>
    </font>
    <font>
      <sz val="11"/>
      <color rgb="FF1F1F1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1F4E79"/>
      </patternFill>
    </fill>
    <fill>
      <patternFill patternType="solid">
        <fgColor rgb="FF1F4E78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rgb="FF000000"/>
      </top>
      <bottom/>
      <diagonal/>
    </border>
  </borders>
  <cellStyleXfs count="4">
    <xf numFmtId="0" fontId="0" fillId="0" borderId="0"/>
    <xf numFmtId="0" fontId="7" fillId="5" borderId="0" applyNumberFormat="0" applyBorder="0" applyAlignment="0" applyProtection="0"/>
    <xf numFmtId="0" fontId="8" fillId="6" borderId="0" applyNumberFormat="0" applyBorder="0" applyAlignment="0" applyProtection="0"/>
    <xf numFmtId="0" fontId="9" fillId="7" borderId="0" applyNumberFormat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49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7" fillId="0" borderId="0" xfId="1" applyFill="1"/>
    <xf numFmtId="0" fontId="9" fillId="0" borderId="0" xfId="3" applyFill="1"/>
    <xf numFmtId="0" fontId="8" fillId="0" borderId="0" xfId="2" applyFill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49" fontId="5" fillId="0" borderId="0" xfId="0" applyNumberFormat="1" applyFont="1" applyAlignment="1">
      <alignment horizontal="left"/>
    </xf>
    <xf numFmtId="14" fontId="5" fillId="0" borderId="0" xfId="0" applyNumberFormat="1" applyFont="1" applyAlignment="1">
      <alignment horizontal="left"/>
    </xf>
    <xf numFmtId="44" fontId="5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44" fontId="4" fillId="0" borderId="6" xfId="0" applyNumberFormat="1" applyFont="1" applyBorder="1" applyAlignment="1">
      <alignment horizontal="left"/>
    </xf>
    <xf numFmtId="44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 wrapText="1"/>
    </xf>
    <xf numFmtId="1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 wrapText="1"/>
    </xf>
    <xf numFmtId="0" fontId="10" fillId="0" borderId="0" xfId="0" applyFont="1" applyAlignment="1">
      <alignment horizontal="left" wrapText="1"/>
    </xf>
    <xf numFmtId="0" fontId="14" fillId="0" borderId="0" xfId="0" applyFont="1" applyAlignment="1">
      <alignment horizontal="left" wrapText="1"/>
    </xf>
    <xf numFmtId="14" fontId="0" fillId="0" borderId="0" xfId="0" applyNumberFormat="1" applyAlignment="1">
      <alignment horizontal="left"/>
    </xf>
    <xf numFmtId="44" fontId="0" fillId="0" borderId="0" xfId="0" applyNumberFormat="1" applyAlignment="1">
      <alignment horizontal="left"/>
    </xf>
    <xf numFmtId="1" fontId="4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11" fillId="2" borderId="5" xfId="0" applyFont="1" applyFill="1" applyBorder="1" applyAlignment="1">
      <alignment horizontal="left" wrapText="1"/>
    </xf>
    <xf numFmtId="0" fontId="11" fillId="2" borderId="1" xfId="0" applyFont="1" applyFill="1" applyBorder="1" applyAlignment="1">
      <alignment horizontal="left" wrapText="1"/>
    </xf>
    <xf numFmtId="0" fontId="11" fillId="2" borderId="2" xfId="0" applyFont="1" applyFill="1" applyBorder="1" applyAlignment="1">
      <alignment horizontal="left" wrapText="1"/>
    </xf>
    <xf numFmtId="0" fontId="11" fillId="3" borderId="3" xfId="0" applyFont="1" applyFill="1" applyBorder="1" applyAlignment="1">
      <alignment horizontal="left" wrapText="1"/>
    </xf>
    <xf numFmtId="0" fontId="12" fillId="3" borderId="3" xfId="0" applyFont="1" applyFill="1" applyBorder="1" applyAlignment="1">
      <alignment horizontal="left" wrapText="1"/>
    </xf>
    <xf numFmtId="0" fontId="13" fillId="3" borderId="3" xfId="0" applyFont="1" applyFill="1" applyBorder="1" applyAlignment="1">
      <alignment horizontal="left" wrapText="1"/>
    </xf>
    <xf numFmtId="0" fontId="13" fillId="2" borderId="3" xfId="0" applyFont="1" applyFill="1" applyBorder="1" applyAlignment="1">
      <alignment horizontal="left" wrapText="1"/>
    </xf>
    <xf numFmtId="44" fontId="13" fillId="2" borderId="3" xfId="0" applyNumberFormat="1" applyFont="1" applyFill="1" applyBorder="1" applyAlignment="1">
      <alignment horizontal="left" wrapText="1"/>
    </xf>
    <xf numFmtId="0" fontId="11" fillId="4" borderId="4" xfId="0" applyFont="1" applyFill="1" applyBorder="1" applyAlignment="1">
      <alignment horizontal="left" wrapText="1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13" fillId="0" borderId="0" xfId="0" applyFont="1" applyAlignment="1">
      <alignment horizontal="left" wrapText="1"/>
    </xf>
    <xf numFmtId="0" fontId="11" fillId="0" borderId="0" xfId="0" applyFont="1" applyAlignment="1">
      <alignment horizontal="left" wrapText="1"/>
    </xf>
    <xf numFmtId="0" fontId="6" fillId="0" borderId="0" xfId="0" quotePrefix="1" applyFont="1" applyAlignment="1">
      <alignment horizontal="left" wrapText="1"/>
    </xf>
    <xf numFmtId="1" fontId="6" fillId="0" borderId="0" xfId="0" applyNumberFormat="1" applyFont="1" applyAlignment="1">
      <alignment horizontal="left" wrapText="1"/>
    </xf>
    <xf numFmtId="1" fontId="2" fillId="0" borderId="0" xfId="0" applyNumberFormat="1" applyFont="1" applyAlignment="1">
      <alignment horizontal="left" wrapText="1"/>
    </xf>
    <xf numFmtId="44" fontId="0" fillId="0" borderId="0" xfId="0" applyNumberFormat="1" applyAlignment="1">
      <alignment horizontal="left" wrapText="1"/>
    </xf>
    <xf numFmtId="49" fontId="5" fillId="0" borderId="0" xfId="0" applyNumberFormat="1" applyFont="1" applyFill="1" applyAlignment="1">
      <alignment horizontal="left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Border="1"/>
    <xf numFmtId="0" fontId="15" fillId="0" borderId="0" xfId="0" applyFont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3">
    <dxf>
      <font>
        <color theme="9" tint="-0.499984740745262"/>
      </font>
      <numFmt numFmtId="0" formatCode="General"/>
      <fill>
        <patternFill>
          <bgColor theme="9"/>
        </patternFill>
      </fill>
    </dxf>
    <dxf>
      <font>
        <color theme="7" tint="-0.2499465926084170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rgb="FFFF8585"/>
        </patternFill>
      </fill>
    </dxf>
  </dxfs>
  <tableStyles count="0" defaultTableStyle="TableStyleMedium2" defaultPivotStyle="PivotStyleLight16"/>
  <colors>
    <mruColors>
      <color rgb="FF7FB1E5"/>
      <color rgb="FFAA242A"/>
      <color rgb="FF264677"/>
      <color rgb="FF2829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ichmondgov-my.sharepoint.com/personal/rachel_hightman1_rva_gov/Documents/Desktop/All%20HCD%20Projects%20Chart.xlsx" TargetMode="External"/><Relationship Id="rId1" Type="http://schemas.openxmlformats.org/officeDocument/2006/relationships/externalLinkPath" Target="All%20HCD%20Projects%20Cha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JRWKgTICUESkkiFB1IK4XQSdPMlJSCVOr3JoINWBiIGeennG5yg3QZmN6_WtivIO" itemId="01J6AMSDAEHN5IQNT3CZF2XHOIN3ZHPQVJ">
      <xxl21:absoluteUrl r:id="rId2"/>
    </xxl21:alternateUrls>
    <sheetNames>
      <sheetName val="EAHP Summary"/>
      <sheetName val="Summary of all Projects"/>
      <sheetName val="Healthy Homes"/>
      <sheetName val="ARPA"/>
      <sheetName val="FedEnt-HOME&amp;CDBG"/>
      <sheetName val="AHPG"/>
      <sheetName val="EAHP"/>
      <sheetName val="MHPI"/>
      <sheetName val="AHTF FY21-24"/>
      <sheetName val="ARPA and EAHP Leverage"/>
      <sheetName val="HOME"/>
      <sheetName val="Char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B3" t="str">
            <v>Permanently Affordable Homes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DC795-AAED-474C-832E-A374F012E91D}">
  <dimension ref="A1:R19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65" sqref="E165"/>
    </sheetView>
  </sheetViews>
  <sheetFormatPr defaultRowHeight="15" customHeight="1" x14ac:dyDescent="0.25"/>
  <cols>
    <col min="1" max="1" width="9.140625" style="8"/>
    <col min="2" max="2" width="41.28515625" style="8" bestFit="1" customWidth="1"/>
    <col min="3" max="3" width="15.140625" style="8" bestFit="1" customWidth="1"/>
    <col min="4" max="4" width="60.28515625" style="8" bestFit="1" customWidth="1"/>
    <col min="5" max="5" width="71.140625" style="8" bestFit="1" customWidth="1"/>
    <col min="6" max="6" width="65.42578125" style="8" bestFit="1" customWidth="1"/>
    <col min="7" max="7" width="10.7109375" style="8" bestFit="1" customWidth="1"/>
    <col min="8" max="8" width="9.85546875" style="8" bestFit="1" customWidth="1"/>
    <col min="9" max="9" width="38.28515625" style="8" bestFit="1" customWidth="1"/>
    <col min="10" max="10" width="46.85546875" style="8" bestFit="1" customWidth="1"/>
    <col min="11" max="11" width="18.42578125" style="8" bestFit="1" customWidth="1"/>
    <col min="12" max="12" width="16.5703125" style="8" bestFit="1" customWidth="1"/>
    <col min="13" max="13" width="11.42578125" style="8" bestFit="1" customWidth="1"/>
    <col min="14" max="14" width="11.140625" style="8" bestFit="1" customWidth="1"/>
    <col min="15" max="15" width="17.140625" style="12" bestFit="1" customWidth="1"/>
    <col min="16" max="16" width="33.140625" style="8" bestFit="1" customWidth="1"/>
    <col min="17" max="17" width="47.42578125" style="8" bestFit="1" customWidth="1"/>
    <col min="18" max="16384" width="9.140625" style="8"/>
  </cols>
  <sheetData>
    <row r="1" spans="1:17" ht="45" x14ac:dyDescent="0.25">
      <c r="A1" s="27" t="s">
        <v>0</v>
      </c>
      <c r="B1" s="28" t="s">
        <v>1</v>
      </c>
      <c r="C1" s="29" t="s">
        <v>2</v>
      </c>
      <c r="D1" s="30" t="s">
        <v>73</v>
      </c>
      <c r="E1" s="31" t="s">
        <v>425</v>
      </c>
      <c r="F1" s="32" t="s">
        <v>74</v>
      </c>
      <c r="G1" s="30" t="s">
        <v>75</v>
      </c>
      <c r="H1" s="32" t="s">
        <v>76</v>
      </c>
      <c r="I1" s="32" t="s">
        <v>77</v>
      </c>
      <c r="J1" s="31" t="s">
        <v>426</v>
      </c>
      <c r="K1" s="32" t="s">
        <v>4</v>
      </c>
      <c r="L1" s="32" t="s">
        <v>78</v>
      </c>
      <c r="M1" s="32" t="s">
        <v>79</v>
      </c>
      <c r="N1" s="33" t="s">
        <v>80</v>
      </c>
      <c r="O1" s="34" t="s">
        <v>247</v>
      </c>
      <c r="P1" s="30" t="s">
        <v>81</v>
      </c>
      <c r="Q1" s="35" t="s">
        <v>429</v>
      </c>
    </row>
    <row r="2" spans="1:17" x14ac:dyDescent="0.25">
      <c r="A2" s="8" t="s">
        <v>18</v>
      </c>
      <c r="B2" s="8" t="s">
        <v>52</v>
      </c>
      <c r="C2" s="8" t="s">
        <v>26</v>
      </c>
      <c r="D2" s="13" t="s">
        <v>166</v>
      </c>
      <c r="E2" s="13" t="s">
        <v>166</v>
      </c>
      <c r="F2" s="10"/>
      <c r="G2" s="10"/>
      <c r="H2" s="13">
        <v>9</v>
      </c>
      <c r="I2" s="13" t="s">
        <v>167</v>
      </c>
      <c r="J2" s="10" t="s">
        <v>27</v>
      </c>
      <c r="K2" s="8" t="s">
        <v>22</v>
      </c>
      <c r="L2" s="14">
        <v>45628</v>
      </c>
      <c r="M2" s="8" t="str">
        <f t="shared" ref="M2:M25" si="0">IF(AND(L2&gt;=DATE(2020,7,1), L2&lt;=DATE(2021,6,30)), "FY2021",
IF(AND(L2&gt;=DATE(2021,7,1), L2&lt;=DATE(2022,6,30)), "FY2022",
IF(AND(L2&gt;=DATE(2022,7,1), L2&lt;=DATE(2023,6,30)), "FY2023",
IF(AND(L2&gt;=DATE(2023,7,1), L2&lt;=DATE(2024,6,30)), "FY2024",
IF(AND(L2&gt;=DATE(2024,7,1), L2&lt;=DATE(2025,6,30)), "FY2025",
IF(AND(L2&gt;=DATE(2025,7,1), L2&lt;=DATE(2026,6,30)), "FY2026",
IF(AND(L2&gt;=DATE(2026,7,1), L2&lt;=DATE(2027,6,30)), "FY2027",
IF(AND(L2&gt;=DATE(2027,7,1), L2&lt;=DATE(2028,6,30)), "FY2028",
IF(AND(L2&gt;=DATE(2028,7,1), L2&lt;=DATE(2029,6,30)), "FY2029","")))))))))</f>
        <v>FY2025</v>
      </c>
      <c r="N2" s="13">
        <v>217</v>
      </c>
      <c r="O2" s="15">
        <v>293832</v>
      </c>
      <c r="P2" s="8" t="s">
        <v>111</v>
      </c>
      <c r="Q2" s="8" t="s">
        <v>430</v>
      </c>
    </row>
    <row r="3" spans="1:17" x14ac:dyDescent="0.25">
      <c r="A3" s="8" t="s">
        <v>24</v>
      </c>
      <c r="B3" s="8" t="s">
        <v>52</v>
      </c>
      <c r="C3" s="8" t="s">
        <v>26</v>
      </c>
      <c r="D3" s="13" t="s">
        <v>138</v>
      </c>
      <c r="E3" s="13" t="s">
        <v>138</v>
      </c>
      <c r="F3" s="10"/>
      <c r="G3" s="10"/>
      <c r="H3" s="13">
        <v>5</v>
      </c>
      <c r="I3" s="13" t="s">
        <v>139</v>
      </c>
      <c r="J3" s="10" t="s">
        <v>27</v>
      </c>
      <c r="K3" s="8" t="s">
        <v>16</v>
      </c>
      <c r="L3" s="11">
        <v>46022</v>
      </c>
      <c r="M3" s="8" t="str">
        <f t="shared" si="0"/>
        <v>FY2026</v>
      </c>
      <c r="N3" s="13">
        <v>84</v>
      </c>
      <c r="O3" s="16">
        <v>213470.54</v>
      </c>
      <c r="P3" s="8" t="s">
        <v>111</v>
      </c>
      <c r="Q3" s="8" t="s">
        <v>430</v>
      </c>
    </row>
    <row r="4" spans="1:17" x14ac:dyDescent="0.25">
      <c r="A4" s="8" t="s">
        <v>24</v>
      </c>
      <c r="B4" s="8" t="s">
        <v>52</v>
      </c>
      <c r="C4" s="8" t="s">
        <v>26</v>
      </c>
      <c r="D4" s="13" t="s">
        <v>170</v>
      </c>
      <c r="E4" s="13" t="s">
        <v>170</v>
      </c>
      <c r="F4" s="10"/>
      <c r="G4" s="10"/>
      <c r="H4" s="13">
        <v>8</v>
      </c>
      <c r="I4" s="13" t="s">
        <v>171</v>
      </c>
      <c r="J4" s="10" t="s">
        <v>27</v>
      </c>
      <c r="K4" s="8" t="s">
        <v>22</v>
      </c>
      <c r="L4" s="14">
        <v>45863</v>
      </c>
      <c r="M4" s="8" t="str">
        <f t="shared" si="0"/>
        <v>FY2026</v>
      </c>
      <c r="N4" s="13">
        <v>243</v>
      </c>
      <c r="O4" s="16">
        <v>65930.33</v>
      </c>
      <c r="P4" s="8" t="s">
        <v>111</v>
      </c>
      <c r="Q4" s="8" t="s">
        <v>430</v>
      </c>
    </row>
    <row r="5" spans="1:17" x14ac:dyDescent="0.25">
      <c r="A5" s="8" t="s">
        <v>24</v>
      </c>
      <c r="B5" s="8" t="s">
        <v>52</v>
      </c>
      <c r="C5" s="8" t="s">
        <v>26</v>
      </c>
      <c r="D5" s="13" t="s">
        <v>145</v>
      </c>
      <c r="E5" s="13" t="s">
        <v>145</v>
      </c>
      <c r="F5" s="10"/>
      <c r="G5" s="10"/>
      <c r="H5" s="13">
        <v>6</v>
      </c>
      <c r="I5" s="13" t="s">
        <v>146</v>
      </c>
      <c r="J5" s="10" t="s">
        <v>27</v>
      </c>
      <c r="K5" s="8" t="s">
        <v>16</v>
      </c>
      <c r="L5" s="11">
        <v>46143</v>
      </c>
      <c r="M5" s="8" t="str">
        <f t="shared" si="0"/>
        <v>FY2026</v>
      </c>
      <c r="N5" s="13">
        <v>116</v>
      </c>
      <c r="O5" s="16">
        <v>406195.82</v>
      </c>
      <c r="P5" s="8" t="s">
        <v>111</v>
      </c>
      <c r="Q5" s="8" t="s">
        <v>430</v>
      </c>
    </row>
    <row r="6" spans="1:17" x14ac:dyDescent="0.25">
      <c r="A6" s="8" t="s">
        <v>24</v>
      </c>
      <c r="B6" s="8" t="s">
        <v>52</v>
      </c>
      <c r="C6" s="8" t="s">
        <v>26</v>
      </c>
      <c r="D6" s="13" t="s">
        <v>154</v>
      </c>
      <c r="E6" s="13" t="s">
        <v>154</v>
      </c>
      <c r="F6" s="10"/>
      <c r="G6" s="10"/>
      <c r="H6" s="13">
        <v>5</v>
      </c>
      <c r="I6" s="13" t="s">
        <v>155</v>
      </c>
      <c r="J6" s="10" t="s">
        <v>27</v>
      </c>
      <c r="K6" s="8" t="s">
        <v>16</v>
      </c>
      <c r="L6" s="11">
        <v>46204</v>
      </c>
      <c r="M6" s="8" t="str">
        <f t="shared" si="0"/>
        <v>FY2027</v>
      </c>
      <c r="N6" s="13">
        <v>144</v>
      </c>
      <c r="O6" s="16">
        <v>256675.76</v>
      </c>
      <c r="P6" s="8" t="s">
        <v>111</v>
      </c>
      <c r="Q6" s="8" t="s">
        <v>430</v>
      </c>
    </row>
    <row r="7" spans="1:17" x14ac:dyDescent="0.25">
      <c r="A7" s="8" t="s">
        <v>24</v>
      </c>
      <c r="B7" s="8" t="s">
        <v>52</v>
      </c>
      <c r="C7" s="8" t="s">
        <v>26</v>
      </c>
      <c r="D7" s="13" t="s">
        <v>156</v>
      </c>
      <c r="E7" s="13" t="s">
        <v>156</v>
      </c>
      <c r="F7" s="10"/>
      <c r="G7" s="10"/>
      <c r="H7" s="13">
        <v>8</v>
      </c>
      <c r="I7" s="13" t="s">
        <v>157</v>
      </c>
      <c r="J7" s="10" t="s">
        <v>27</v>
      </c>
      <c r="K7" s="8" t="s">
        <v>16</v>
      </c>
      <c r="L7" s="11">
        <v>46295</v>
      </c>
      <c r="M7" s="8" t="str">
        <f t="shared" si="0"/>
        <v>FY2027</v>
      </c>
      <c r="N7" s="13">
        <v>150</v>
      </c>
      <c r="O7" s="16">
        <v>425220.25</v>
      </c>
      <c r="P7" s="8" t="s">
        <v>111</v>
      </c>
      <c r="Q7" s="8" t="s">
        <v>430</v>
      </c>
    </row>
    <row r="8" spans="1:17" x14ac:dyDescent="0.25">
      <c r="A8" s="8" t="s">
        <v>29</v>
      </c>
      <c r="B8" s="8" t="s">
        <v>52</v>
      </c>
      <c r="C8" s="8" t="s">
        <v>26</v>
      </c>
      <c r="D8" s="13" t="s">
        <v>112</v>
      </c>
      <c r="E8" s="13" t="s">
        <v>112</v>
      </c>
      <c r="F8" s="10"/>
      <c r="G8" s="10"/>
      <c r="H8" s="13">
        <v>6</v>
      </c>
      <c r="I8" s="13" t="s">
        <v>113</v>
      </c>
      <c r="J8" s="10" t="s">
        <v>27</v>
      </c>
      <c r="K8" s="8" t="s">
        <v>22</v>
      </c>
      <c r="L8" s="14">
        <v>45251</v>
      </c>
      <c r="M8" s="8" t="str">
        <f t="shared" si="0"/>
        <v>FY2024</v>
      </c>
      <c r="N8" s="13">
        <v>50</v>
      </c>
      <c r="O8" s="16">
        <v>92772</v>
      </c>
      <c r="Q8" s="8" t="s">
        <v>430</v>
      </c>
    </row>
    <row r="9" spans="1:17" x14ac:dyDescent="0.25">
      <c r="A9" s="8" t="s">
        <v>29</v>
      </c>
      <c r="B9" s="8" t="s">
        <v>52</v>
      </c>
      <c r="C9" s="8" t="s">
        <v>26</v>
      </c>
      <c r="D9" s="13" t="s">
        <v>109</v>
      </c>
      <c r="E9" s="13" t="s">
        <v>109</v>
      </c>
      <c r="F9" s="10"/>
      <c r="G9" s="10"/>
      <c r="H9" s="13">
        <v>6</v>
      </c>
      <c r="I9" s="13" t="s">
        <v>110</v>
      </c>
      <c r="J9" s="10" t="s">
        <v>27</v>
      </c>
      <c r="K9" s="8" t="s">
        <v>16</v>
      </c>
      <c r="L9" s="11">
        <v>46174</v>
      </c>
      <c r="M9" s="8" t="str">
        <f t="shared" si="0"/>
        <v>FY2026</v>
      </c>
      <c r="N9" s="13">
        <v>49</v>
      </c>
      <c r="O9" s="16">
        <v>100486.04</v>
      </c>
      <c r="P9" s="8" t="s">
        <v>111</v>
      </c>
      <c r="Q9" s="8" t="s">
        <v>430</v>
      </c>
    </row>
    <row r="10" spans="1:17" x14ac:dyDescent="0.25">
      <c r="A10" s="8" t="s">
        <v>29</v>
      </c>
      <c r="B10" s="8" t="s">
        <v>52</v>
      </c>
      <c r="C10" s="8" t="s">
        <v>26</v>
      </c>
      <c r="D10" s="13" t="s">
        <v>101</v>
      </c>
      <c r="E10" s="13" t="s">
        <v>101</v>
      </c>
      <c r="F10" s="10"/>
      <c r="G10" s="10"/>
      <c r="H10" s="13">
        <v>6</v>
      </c>
      <c r="I10" s="13" t="s">
        <v>102</v>
      </c>
      <c r="J10" s="10" t="s">
        <v>27</v>
      </c>
      <c r="K10" s="8" t="s">
        <v>16</v>
      </c>
      <c r="L10" s="11">
        <v>46082</v>
      </c>
      <c r="M10" s="8" t="str">
        <f t="shared" si="0"/>
        <v>FY2026</v>
      </c>
      <c r="N10" s="13">
        <v>43</v>
      </c>
      <c r="O10" s="16">
        <v>154819.47</v>
      </c>
      <c r="P10" s="8" t="s">
        <v>103</v>
      </c>
      <c r="Q10" s="8" t="s">
        <v>430</v>
      </c>
    </row>
    <row r="11" spans="1:17" x14ac:dyDescent="0.25">
      <c r="A11" s="8" t="s">
        <v>29</v>
      </c>
      <c r="B11" s="8" t="s">
        <v>52</v>
      </c>
      <c r="C11" s="8" t="s">
        <v>26</v>
      </c>
      <c r="D11" s="13" t="s">
        <v>121</v>
      </c>
      <c r="E11" s="13" t="s">
        <v>121</v>
      </c>
      <c r="F11" s="10"/>
      <c r="G11" s="10"/>
      <c r="H11" s="13">
        <v>6</v>
      </c>
      <c r="I11" s="13" t="s">
        <v>122</v>
      </c>
      <c r="J11" s="10" t="s">
        <v>27</v>
      </c>
      <c r="K11" s="8" t="s">
        <v>16</v>
      </c>
      <c r="L11" s="11">
        <v>46386</v>
      </c>
      <c r="M11" s="8" t="str">
        <f t="shared" si="0"/>
        <v>FY2027</v>
      </c>
      <c r="N11" s="13">
        <v>56</v>
      </c>
      <c r="O11" s="16">
        <v>146143.66</v>
      </c>
      <c r="P11" s="8" t="s">
        <v>111</v>
      </c>
      <c r="Q11" s="8" t="s">
        <v>430</v>
      </c>
    </row>
    <row r="12" spans="1:17" x14ac:dyDescent="0.25">
      <c r="A12" s="8" t="s">
        <v>29</v>
      </c>
      <c r="B12" s="8" t="s">
        <v>52</v>
      </c>
      <c r="C12" s="8" t="s">
        <v>26</v>
      </c>
      <c r="D12" s="13" t="s">
        <v>140</v>
      </c>
      <c r="E12" s="13" t="s">
        <v>140</v>
      </c>
      <c r="F12" s="10"/>
      <c r="G12" s="10"/>
      <c r="H12" s="13">
        <v>8</v>
      </c>
      <c r="I12" s="13" t="s">
        <v>141</v>
      </c>
      <c r="J12" s="10" t="s">
        <v>27</v>
      </c>
      <c r="K12" s="8" t="s">
        <v>16</v>
      </c>
      <c r="L12" s="11">
        <v>46296</v>
      </c>
      <c r="M12" s="8" t="str">
        <f t="shared" si="0"/>
        <v>FY2027</v>
      </c>
      <c r="N12" s="13">
        <v>90</v>
      </c>
      <c r="O12" s="16">
        <v>207439.02</v>
      </c>
      <c r="P12" s="36" t="s">
        <v>142</v>
      </c>
      <c r="Q12" s="8" t="s">
        <v>430</v>
      </c>
    </row>
    <row r="13" spans="1:17" ht="45" x14ac:dyDescent="0.25">
      <c r="A13" s="8" t="s">
        <v>29</v>
      </c>
      <c r="B13" s="8" t="s">
        <v>52</v>
      </c>
      <c r="C13" s="8" t="s">
        <v>26</v>
      </c>
      <c r="D13" s="13" t="s">
        <v>165</v>
      </c>
      <c r="E13" s="13" t="s">
        <v>165</v>
      </c>
      <c r="F13" s="10"/>
      <c r="G13" s="10"/>
      <c r="H13" s="13">
        <v>9</v>
      </c>
      <c r="I13" s="17" t="s">
        <v>153</v>
      </c>
      <c r="J13" s="10" t="s">
        <v>27</v>
      </c>
      <c r="K13" s="8" t="s">
        <v>16</v>
      </c>
      <c r="L13" s="11">
        <v>46266</v>
      </c>
      <c r="M13" s="8" t="str">
        <f t="shared" si="0"/>
        <v>FY2027</v>
      </c>
      <c r="N13" s="13">
        <v>216</v>
      </c>
      <c r="O13" s="16">
        <v>743415.73</v>
      </c>
      <c r="P13" s="8" t="s">
        <v>111</v>
      </c>
      <c r="Q13" s="8" t="s">
        <v>430</v>
      </c>
    </row>
    <row r="14" spans="1:17" ht="45" x14ac:dyDescent="0.25">
      <c r="A14" s="8" t="s">
        <v>29</v>
      </c>
      <c r="B14" s="8" t="s">
        <v>52</v>
      </c>
      <c r="C14" s="8" t="s">
        <v>26</v>
      </c>
      <c r="D14" s="13" t="s">
        <v>152</v>
      </c>
      <c r="E14" s="13" t="s">
        <v>152</v>
      </c>
      <c r="F14" s="10"/>
      <c r="G14" s="10"/>
      <c r="H14" s="13">
        <v>9</v>
      </c>
      <c r="I14" s="17" t="s">
        <v>153</v>
      </c>
      <c r="J14" s="10" t="s">
        <v>27</v>
      </c>
      <c r="K14" s="8" t="s">
        <v>16</v>
      </c>
      <c r="L14" s="11">
        <v>46266</v>
      </c>
      <c r="M14" s="8" t="str">
        <f t="shared" si="0"/>
        <v>FY2027</v>
      </c>
      <c r="N14" s="13">
        <v>128</v>
      </c>
      <c r="O14" s="16">
        <v>350457.84</v>
      </c>
      <c r="Q14" s="8" t="s">
        <v>430</v>
      </c>
    </row>
    <row r="15" spans="1:17" x14ac:dyDescent="0.25">
      <c r="A15" s="8" t="s">
        <v>29</v>
      </c>
      <c r="B15" s="8" t="s">
        <v>52</v>
      </c>
      <c r="C15" s="8" t="s">
        <v>26</v>
      </c>
      <c r="D15" s="13" t="s">
        <v>149</v>
      </c>
      <c r="E15" s="13" t="s">
        <v>149</v>
      </c>
      <c r="F15" s="10"/>
      <c r="G15" s="10"/>
      <c r="H15" s="13">
        <v>6</v>
      </c>
      <c r="I15" s="13" t="s">
        <v>150</v>
      </c>
      <c r="J15" s="10" t="s">
        <v>27</v>
      </c>
      <c r="K15" s="8" t="s">
        <v>16</v>
      </c>
      <c r="L15" s="11">
        <v>46155</v>
      </c>
      <c r="M15" s="8" t="str">
        <f t="shared" si="0"/>
        <v>FY2026</v>
      </c>
      <c r="N15" s="13">
        <v>127</v>
      </c>
      <c r="O15" s="16">
        <v>281863.90000000002</v>
      </c>
      <c r="P15" s="8" t="s">
        <v>151</v>
      </c>
      <c r="Q15" s="8" t="s">
        <v>430</v>
      </c>
    </row>
    <row r="16" spans="1:17" x14ac:dyDescent="0.25">
      <c r="A16" s="8" t="s">
        <v>29</v>
      </c>
      <c r="B16" s="8" t="s">
        <v>52</v>
      </c>
      <c r="C16" s="8" t="s">
        <v>26</v>
      </c>
      <c r="D16" s="13" t="s">
        <v>168</v>
      </c>
      <c r="E16" s="13" t="s">
        <v>168</v>
      </c>
      <c r="F16" s="10"/>
      <c r="G16" s="10"/>
      <c r="H16" s="13">
        <v>9</v>
      </c>
      <c r="I16" s="13" t="s">
        <v>169</v>
      </c>
      <c r="J16" s="10" t="s">
        <v>27</v>
      </c>
      <c r="K16" s="8" t="s">
        <v>10</v>
      </c>
      <c r="L16" s="11">
        <v>46813</v>
      </c>
      <c r="M16" s="8" t="str">
        <f t="shared" si="0"/>
        <v>FY2028</v>
      </c>
      <c r="N16" s="13">
        <v>236</v>
      </c>
      <c r="O16" s="16">
        <v>721729.27</v>
      </c>
      <c r="Q16" s="8" t="s">
        <v>430</v>
      </c>
    </row>
    <row r="17" spans="1:17" x14ac:dyDescent="0.25">
      <c r="A17" s="8" t="s">
        <v>29</v>
      </c>
      <c r="B17" s="8" t="s">
        <v>52</v>
      </c>
      <c r="C17" s="8" t="s">
        <v>26</v>
      </c>
      <c r="D17" s="13" t="s">
        <v>96</v>
      </c>
      <c r="E17" s="13" t="s">
        <v>96</v>
      </c>
      <c r="F17" s="10"/>
      <c r="G17" s="10"/>
      <c r="H17" s="13">
        <v>5</v>
      </c>
      <c r="I17" s="13" t="s">
        <v>97</v>
      </c>
      <c r="J17" s="10" t="s">
        <v>27</v>
      </c>
      <c r="K17" s="8" t="s">
        <v>10</v>
      </c>
      <c r="L17" s="11">
        <v>46600</v>
      </c>
      <c r="M17" s="8" t="str">
        <f t="shared" si="0"/>
        <v>FY2028</v>
      </c>
      <c r="N17" s="13">
        <v>20</v>
      </c>
      <c r="O17" s="16">
        <v>93306.69</v>
      </c>
      <c r="Q17" s="8" t="s">
        <v>430</v>
      </c>
    </row>
    <row r="18" spans="1:17" x14ac:dyDescent="0.25">
      <c r="A18" s="8" t="s">
        <v>29</v>
      </c>
      <c r="B18" s="8" t="s">
        <v>52</v>
      </c>
      <c r="C18" s="8" t="s">
        <v>26</v>
      </c>
      <c r="D18" s="13" t="s">
        <v>133</v>
      </c>
      <c r="E18" s="13" t="s">
        <v>133</v>
      </c>
      <c r="F18" s="10"/>
      <c r="G18" s="10"/>
      <c r="H18" s="13">
        <v>6</v>
      </c>
      <c r="I18" s="13" t="s">
        <v>134</v>
      </c>
      <c r="J18" s="10" t="s">
        <v>27</v>
      </c>
      <c r="K18" s="8" t="s">
        <v>16</v>
      </c>
      <c r="L18" s="11">
        <v>46447</v>
      </c>
      <c r="M18" s="8" t="str">
        <f t="shared" si="0"/>
        <v>FY2027</v>
      </c>
      <c r="N18" s="13">
        <v>80</v>
      </c>
      <c r="O18" s="16">
        <v>350666.79</v>
      </c>
      <c r="P18" s="8" t="s">
        <v>132</v>
      </c>
      <c r="Q18" s="8" t="s">
        <v>430</v>
      </c>
    </row>
    <row r="19" spans="1:17" x14ac:dyDescent="0.25">
      <c r="A19" s="8" t="s">
        <v>34</v>
      </c>
      <c r="B19" s="8" t="s">
        <v>52</v>
      </c>
      <c r="C19" s="8" t="s">
        <v>26</v>
      </c>
      <c r="D19" s="13" t="s">
        <v>130</v>
      </c>
      <c r="E19" s="13" t="s">
        <v>130</v>
      </c>
      <c r="F19" s="10"/>
      <c r="G19" s="10"/>
      <c r="H19" s="13">
        <v>3</v>
      </c>
      <c r="I19" s="13" t="s">
        <v>131</v>
      </c>
      <c r="J19" s="10" t="s">
        <v>27</v>
      </c>
      <c r="K19" s="8" t="s">
        <v>16</v>
      </c>
      <c r="L19" s="11">
        <v>46007</v>
      </c>
      <c r="M19" s="8" t="str">
        <f t="shared" si="0"/>
        <v>FY2026</v>
      </c>
      <c r="N19" s="13">
        <v>78</v>
      </c>
      <c r="O19" s="16">
        <v>153457.49</v>
      </c>
      <c r="P19" s="8" t="s">
        <v>132</v>
      </c>
      <c r="Q19" s="8" t="s">
        <v>430</v>
      </c>
    </row>
    <row r="20" spans="1:17" x14ac:dyDescent="0.25">
      <c r="A20" s="8" t="s">
        <v>34</v>
      </c>
      <c r="B20" s="8" t="s">
        <v>52</v>
      </c>
      <c r="C20" s="8" t="s">
        <v>26</v>
      </c>
      <c r="D20" s="13" t="s">
        <v>269</v>
      </c>
      <c r="E20" s="13" t="s">
        <v>117</v>
      </c>
      <c r="F20" s="10"/>
      <c r="G20" s="10"/>
      <c r="H20" s="13">
        <v>8</v>
      </c>
      <c r="I20" s="13" t="s">
        <v>118</v>
      </c>
      <c r="J20" s="10" t="s">
        <v>27</v>
      </c>
      <c r="K20" s="8" t="s">
        <v>16</v>
      </c>
      <c r="L20" s="11">
        <v>46337</v>
      </c>
      <c r="M20" s="8" t="str">
        <f t="shared" si="0"/>
        <v>FY2027</v>
      </c>
      <c r="N20" s="13">
        <v>50</v>
      </c>
      <c r="O20" s="16">
        <v>134004.93</v>
      </c>
      <c r="Q20" s="8" t="s">
        <v>430</v>
      </c>
    </row>
    <row r="21" spans="1:17" ht="90" x14ac:dyDescent="0.25">
      <c r="A21" s="8" t="s">
        <v>34</v>
      </c>
      <c r="B21" s="8" t="s">
        <v>52</v>
      </c>
      <c r="C21" s="8" t="s">
        <v>26</v>
      </c>
      <c r="D21" s="13" t="s">
        <v>172</v>
      </c>
      <c r="E21" s="13" t="s">
        <v>172</v>
      </c>
      <c r="F21" s="10"/>
      <c r="G21" s="10"/>
      <c r="H21" s="13">
        <v>5</v>
      </c>
      <c r="I21" s="17" t="s">
        <v>173</v>
      </c>
      <c r="J21" s="10" t="s">
        <v>27</v>
      </c>
      <c r="K21" s="8" t="s">
        <v>10</v>
      </c>
      <c r="L21" s="11">
        <v>46692</v>
      </c>
      <c r="M21" s="8" t="str">
        <f t="shared" si="0"/>
        <v>FY2028</v>
      </c>
      <c r="N21" s="13">
        <v>246</v>
      </c>
      <c r="O21" s="12">
        <v>677945.46</v>
      </c>
      <c r="Q21" s="8" t="s">
        <v>430</v>
      </c>
    </row>
    <row r="22" spans="1:17" x14ac:dyDescent="0.25">
      <c r="A22" s="8" t="s">
        <v>34</v>
      </c>
      <c r="B22" s="8" t="s">
        <v>52</v>
      </c>
      <c r="C22" s="8" t="s">
        <v>26</v>
      </c>
      <c r="D22" s="13" t="s">
        <v>158</v>
      </c>
      <c r="E22" s="13" t="s">
        <v>158</v>
      </c>
      <c r="F22" s="10"/>
      <c r="G22" s="10"/>
      <c r="H22" s="13">
        <v>9</v>
      </c>
      <c r="I22" s="13" t="s">
        <v>159</v>
      </c>
      <c r="J22" s="10" t="s">
        <v>27</v>
      </c>
      <c r="K22" s="8" t="s">
        <v>10</v>
      </c>
      <c r="L22" s="11">
        <v>46813</v>
      </c>
      <c r="M22" s="8" t="str">
        <f t="shared" si="0"/>
        <v>FY2028</v>
      </c>
      <c r="N22" s="13">
        <v>151</v>
      </c>
      <c r="O22" s="16">
        <v>370151.88</v>
      </c>
      <c r="P22" s="8" t="s">
        <v>132</v>
      </c>
      <c r="Q22" s="8" t="s">
        <v>430</v>
      </c>
    </row>
    <row r="23" spans="1:17" x14ac:dyDescent="0.25">
      <c r="A23" s="8" t="s">
        <v>34</v>
      </c>
      <c r="B23" s="8" t="s">
        <v>52</v>
      </c>
      <c r="C23" s="8" t="s">
        <v>26</v>
      </c>
      <c r="D23" s="13" t="s">
        <v>123</v>
      </c>
      <c r="E23" s="13" t="s">
        <v>123</v>
      </c>
      <c r="F23" s="10"/>
      <c r="G23" s="10"/>
      <c r="H23" s="13">
        <v>6</v>
      </c>
      <c r="I23" s="13" t="s">
        <v>124</v>
      </c>
      <c r="J23" s="10" t="s">
        <v>27</v>
      </c>
      <c r="K23" s="8" t="s">
        <v>10</v>
      </c>
      <c r="L23" s="11">
        <v>46539</v>
      </c>
      <c r="M23" s="8" t="str">
        <f t="shared" si="0"/>
        <v>FY2027</v>
      </c>
      <c r="N23" s="13">
        <v>60</v>
      </c>
      <c r="O23" s="16">
        <v>134165.32</v>
      </c>
      <c r="Q23" s="8" t="s">
        <v>430</v>
      </c>
    </row>
    <row r="24" spans="1:17" x14ac:dyDescent="0.25">
      <c r="A24" s="8" t="s">
        <v>34</v>
      </c>
      <c r="B24" s="8" t="s">
        <v>52</v>
      </c>
      <c r="C24" s="8" t="s">
        <v>26</v>
      </c>
      <c r="D24" s="13" t="s">
        <v>143</v>
      </c>
      <c r="E24" s="13" t="s">
        <v>143</v>
      </c>
      <c r="F24" s="10"/>
      <c r="G24" s="10"/>
      <c r="H24" s="13">
        <v>6</v>
      </c>
      <c r="I24" s="13" t="s">
        <v>144</v>
      </c>
      <c r="J24" s="10" t="s">
        <v>27</v>
      </c>
      <c r="K24" s="8" t="s">
        <v>10</v>
      </c>
      <c r="L24" s="11">
        <v>46600</v>
      </c>
      <c r="M24" s="8" t="str">
        <f t="shared" si="0"/>
        <v>FY2028</v>
      </c>
      <c r="N24" s="13">
        <v>112</v>
      </c>
      <c r="O24" s="16">
        <v>300002.65999999997</v>
      </c>
      <c r="Q24" s="8" t="s">
        <v>430</v>
      </c>
    </row>
    <row r="25" spans="1:17" x14ac:dyDescent="0.25">
      <c r="A25" s="8" t="s">
        <v>34</v>
      </c>
      <c r="B25" s="8" t="s">
        <v>52</v>
      </c>
      <c r="C25" s="8" t="s">
        <v>26</v>
      </c>
      <c r="D25" s="13" t="s">
        <v>434</v>
      </c>
      <c r="E25" s="13" t="s">
        <v>160</v>
      </c>
      <c r="F25" s="10"/>
      <c r="G25" s="10"/>
      <c r="H25" s="13">
        <v>9</v>
      </c>
      <c r="I25" s="17" t="s">
        <v>161</v>
      </c>
      <c r="J25" s="10" t="s">
        <v>27</v>
      </c>
      <c r="K25" s="8" t="s">
        <v>10</v>
      </c>
      <c r="L25" s="11">
        <v>46966</v>
      </c>
      <c r="M25" s="8" t="str">
        <f t="shared" si="0"/>
        <v>FY2029</v>
      </c>
      <c r="N25" s="13">
        <v>180</v>
      </c>
      <c r="O25" s="16">
        <v>497284.15</v>
      </c>
      <c r="Q25" s="8" t="s">
        <v>430</v>
      </c>
    </row>
    <row r="26" spans="1:17" x14ac:dyDescent="0.25">
      <c r="A26" s="8" t="s">
        <v>24</v>
      </c>
      <c r="B26" s="8" t="s">
        <v>39</v>
      </c>
      <c r="C26" s="8" t="s">
        <v>8</v>
      </c>
      <c r="D26" s="8" t="s">
        <v>125</v>
      </c>
      <c r="E26" s="8" t="s">
        <v>239</v>
      </c>
      <c r="J26" s="8" t="s">
        <v>9</v>
      </c>
      <c r="K26" s="8" t="s">
        <v>16</v>
      </c>
      <c r="L26" s="11">
        <v>46326</v>
      </c>
      <c r="M26" s="8" t="str">
        <f>IF(AND(L26&gt;=DATE(2020,7,1), L26&lt;=DATE(2021,6,30)), "FY2021",
IF(AND(L26&gt;=DATE(2021,7,1), L26&lt;=DATE(2022,6,30)), "FY2022",
IF(AND(L26&gt;=DATE(2022,7,1), L26&lt;=DATE(2023,6,30)), "FY2023",
IF(AND(L26&gt;=DATE(2023,7,1), L26&lt;=DATE(2024,6,30)), "FY2024",
IF(AND(L26&gt;=DATE(2024,7,1), L26&lt;=DATE(2025,6,30)), "FY2025",
IF(AND(L26&gt;=DATE(2025,7,1), L26&lt;=DATE(2026,6,30)), "FY2026",
IF(AND(L26&gt;=DATE(2026,7,1), L26&lt;=DATE(2027,6,30)), "FY2027",
IF(AND(L26&gt;=DATE(2027,7,1), L26&lt;=DATE(2028,6,30)), "FY2028",
IF(AND(L26&gt;=DATE(2028,7,1), L26&lt;=DATE(2029,6,30)), "FY2029","")))))))))</f>
        <v>FY2027</v>
      </c>
      <c r="N26" s="8">
        <v>125</v>
      </c>
      <c r="O26" s="12">
        <v>7294000</v>
      </c>
    </row>
    <row r="27" spans="1:17" x14ac:dyDescent="0.25">
      <c r="A27" s="8" t="s">
        <v>18</v>
      </c>
      <c r="B27" s="8" t="s">
        <v>39</v>
      </c>
      <c r="C27" s="8" t="s">
        <v>8</v>
      </c>
      <c r="D27" s="9" t="s">
        <v>176</v>
      </c>
      <c r="E27" s="37" t="s">
        <v>177</v>
      </c>
      <c r="F27" s="13" t="s">
        <v>178</v>
      </c>
      <c r="H27" s="8">
        <v>7</v>
      </c>
      <c r="J27" s="10" t="s">
        <v>27</v>
      </c>
      <c r="K27" s="8" t="s">
        <v>16</v>
      </c>
      <c r="L27" s="11">
        <v>46934</v>
      </c>
      <c r="M27" s="8" t="str">
        <f>IF(AND(L27&gt;=DATE(2020,7,1), L27&lt;=DATE(2021,6,30)), "FY2021",
IF(AND(L27&gt;=DATE(2021,7,1), L27&lt;=DATE(2022,6,30)), "FY2022",
IF(AND(L27&gt;=DATE(2022,7,1), L27&lt;=DATE(2023,6,30)), "FY2023",
IF(AND(L27&gt;=DATE(2023,7,1), L27&lt;=DATE(2024,6,30)), "FY2024",
IF(AND(L27&gt;=DATE(2024,7,1), L27&lt;=DATE(2025,6,30)), "FY2025",
IF(AND(L27&gt;=DATE(2025,7,1), L27&lt;=DATE(2026,6,30)), "FY2026",
IF(AND(L27&gt;=DATE(2026,7,1), L27&lt;=DATE(2027,6,30)), "FY2027",
IF(AND(L27&gt;=DATE(2027,7,1), L27&lt;=DATE(2028,6,30)), "FY2028",
IF(AND(L27&gt;=DATE(2028,7,1), L27&lt;=DATE(2029,6,30)), "FY2029","")))))))))</f>
        <v>FY2028</v>
      </c>
      <c r="N27" s="8">
        <v>726</v>
      </c>
      <c r="O27" s="12">
        <v>21400000</v>
      </c>
      <c r="P27" s="8" t="s">
        <v>179</v>
      </c>
    </row>
    <row r="28" spans="1:17" x14ac:dyDescent="0.25">
      <c r="A28" s="8" t="s">
        <v>12</v>
      </c>
      <c r="B28" s="8" t="s">
        <v>55</v>
      </c>
      <c r="C28" s="8" t="s">
        <v>31</v>
      </c>
      <c r="D28" s="10" t="s">
        <v>87</v>
      </c>
      <c r="E28" s="10" t="s">
        <v>88</v>
      </c>
      <c r="F28" s="10" t="s">
        <v>89</v>
      </c>
      <c r="G28" s="10"/>
      <c r="H28" s="10"/>
      <c r="I28" s="10"/>
      <c r="J28" s="10" t="s">
        <v>32</v>
      </c>
      <c r="K28" s="8" t="s">
        <v>22</v>
      </c>
      <c r="L28" s="11">
        <v>45272</v>
      </c>
      <c r="M28" s="8" t="str">
        <f>IF(AND(L28&gt;=DATE(2020,7,1), L28&lt;=DATE(2021,6,30)), "FY2021",
IF(AND(L28&gt;=DATE(2021,7,1), L28&lt;=DATE(2022,6,30)), "FY2022",
IF(AND(L28&gt;=DATE(2022,7,1), L28&lt;=DATE(2023,6,30)), "FY2023",
IF(AND(L28&gt;=DATE(2023,7,1), L28&lt;=DATE(2024,6,30)), "FY2024",
IF(AND(L28&gt;=DATE(2024,7,1), L28&lt;=DATE(2025,6,30)), "FY2025",
IF(AND(L28&gt;=DATE(2025,7,1), L28&lt;=DATE(2026,6,30)), "FY2026",
IF(AND(L28&gt;=DATE(2026,7,1), L28&lt;=DATE(2027,6,30)), "FY2027",
IF(AND(L28&gt;=DATE(2027,7,1), L28&lt;=DATE(2028,6,30)), "FY2028",
IF(AND(L28&gt;=DATE(2028,7,1), L28&lt;=DATE(2029,6,30)), "FY2029","")))))))))</f>
        <v>FY2024</v>
      </c>
      <c r="N28" s="18">
        <v>13</v>
      </c>
    </row>
    <row r="29" spans="1:17" x14ac:dyDescent="0.25">
      <c r="A29" s="8" t="s">
        <v>12</v>
      </c>
      <c r="B29" s="8" t="s">
        <v>55</v>
      </c>
      <c r="C29" s="8" t="s">
        <v>31</v>
      </c>
      <c r="D29" s="10" t="s">
        <v>270</v>
      </c>
      <c r="E29" s="10"/>
      <c r="F29" s="19" t="s">
        <v>271</v>
      </c>
      <c r="G29" s="10"/>
      <c r="H29" s="10"/>
      <c r="I29" s="10"/>
      <c r="J29" s="10" t="s">
        <v>21</v>
      </c>
      <c r="K29" s="8" t="s">
        <v>22</v>
      </c>
      <c r="L29" s="11">
        <v>45281</v>
      </c>
      <c r="M29" s="8" t="str">
        <f t="shared" ref="M29:M33" si="1">IF(AND(L29&gt;=DATE(2020,7,1), L29&lt;=DATE(2021,6,30)), "FY2021",
IF(AND(L29&gt;=DATE(2021,7,1), L29&lt;=DATE(2022,6,30)), "FY2022",
IF(AND(L29&gt;=DATE(2022,7,1), L29&lt;=DATE(2023,6,30)), "FY2023",
IF(AND(L29&gt;=DATE(2023,7,1), L29&lt;=DATE(2024,6,30)), "FY2024",
IF(AND(L29&gt;=DATE(2024,7,1), L29&lt;=DATE(2025,6,30)), "FY2025",
IF(AND(L29&gt;=DATE(2025,7,1), L29&lt;=DATE(2026,6,30)), "FY2026",
IF(AND(L29&gt;=DATE(2026,7,1), L29&lt;=DATE(2027,6,30)), "FY2027",
IF(AND(L29&gt;=DATE(2027,7,1), L29&lt;=DATE(2028,6,30)), "FY2028",
IF(AND(L29&gt;=DATE(2028,7,1), L29&lt;=DATE(2029,6,30)), "FY2029","")))))))))</f>
        <v>FY2024</v>
      </c>
      <c r="N29" s="18">
        <v>62</v>
      </c>
      <c r="P29" s="8" t="s">
        <v>111</v>
      </c>
    </row>
    <row r="30" spans="1:17" x14ac:dyDescent="0.25">
      <c r="A30" s="8" t="s">
        <v>12</v>
      </c>
      <c r="B30" s="8" t="s">
        <v>55</v>
      </c>
      <c r="C30" s="8" t="s">
        <v>31</v>
      </c>
      <c r="D30" s="10" t="s">
        <v>272</v>
      </c>
      <c r="E30" s="10"/>
      <c r="F30" s="19" t="s">
        <v>273</v>
      </c>
      <c r="G30" s="10"/>
      <c r="H30" s="10"/>
      <c r="I30" s="10"/>
      <c r="J30" s="10" t="s">
        <v>21</v>
      </c>
      <c r="K30" s="8" t="s">
        <v>22</v>
      </c>
      <c r="L30" s="11">
        <v>45280</v>
      </c>
      <c r="M30" s="8" t="str">
        <f t="shared" si="1"/>
        <v>FY2024</v>
      </c>
      <c r="N30" s="18">
        <v>18</v>
      </c>
      <c r="P30" s="8" t="s">
        <v>111</v>
      </c>
    </row>
    <row r="31" spans="1:17" x14ac:dyDescent="0.25">
      <c r="A31" s="8" t="s">
        <v>12</v>
      </c>
      <c r="B31" s="8" t="s">
        <v>55</v>
      </c>
      <c r="C31" s="8" t="s">
        <v>31</v>
      </c>
      <c r="D31" s="10" t="s">
        <v>84</v>
      </c>
      <c r="E31" s="10" t="s">
        <v>85</v>
      </c>
      <c r="F31" s="10" t="s">
        <v>86</v>
      </c>
      <c r="G31" s="10"/>
      <c r="H31" s="10"/>
      <c r="I31" s="10"/>
      <c r="J31" s="10" t="s">
        <v>32</v>
      </c>
      <c r="K31" s="8" t="s">
        <v>22</v>
      </c>
      <c r="L31" s="11">
        <v>44930</v>
      </c>
      <c r="M31" s="8" t="str">
        <f t="shared" si="1"/>
        <v>FY2023</v>
      </c>
      <c r="N31" s="18">
        <v>3</v>
      </c>
    </row>
    <row r="32" spans="1:17" x14ac:dyDescent="0.25">
      <c r="A32" s="8" t="s">
        <v>12</v>
      </c>
      <c r="B32" s="8" t="s">
        <v>55</v>
      </c>
      <c r="C32" s="8" t="s">
        <v>31</v>
      </c>
      <c r="D32" s="10" t="s">
        <v>82</v>
      </c>
      <c r="E32" s="10"/>
      <c r="F32" s="10" t="s">
        <v>83</v>
      </c>
      <c r="G32" s="10"/>
      <c r="H32" s="10"/>
      <c r="I32" s="10"/>
      <c r="J32" s="10" t="s">
        <v>32</v>
      </c>
      <c r="K32" s="8" t="s">
        <v>22</v>
      </c>
      <c r="L32" s="11">
        <v>44987</v>
      </c>
      <c r="M32" s="8" t="str">
        <f t="shared" si="1"/>
        <v>FY2023</v>
      </c>
      <c r="N32" s="18">
        <v>1</v>
      </c>
    </row>
    <row r="33" spans="1:16" x14ac:dyDescent="0.25">
      <c r="A33" s="8" t="s">
        <v>24</v>
      </c>
      <c r="B33" s="8" t="s">
        <v>55</v>
      </c>
      <c r="C33" s="8" t="s">
        <v>31</v>
      </c>
      <c r="D33" s="10" t="s">
        <v>90</v>
      </c>
      <c r="E33" s="10" t="s">
        <v>91</v>
      </c>
      <c r="F33" s="10" t="s">
        <v>92</v>
      </c>
      <c r="G33" s="10"/>
      <c r="H33" s="10"/>
      <c r="I33" s="10"/>
      <c r="J33" s="10" t="s">
        <v>32</v>
      </c>
      <c r="K33" s="8" t="s">
        <v>22</v>
      </c>
      <c r="L33" s="11">
        <v>45747</v>
      </c>
      <c r="M33" s="8" t="str">
        <f t="shared" si="1"/>
        <v>FY2025</v>
      </c>
      <c r="N33" s="18">
        <v>38</v>
      </c>
    </row>
    <row r="34" spans="1:16" x14ac:dyDescent="0.25">
      <c r="A34" s="8" t="s">
        <v>29</v>
      </c>
      <c r="B34" s="8" t="s">
        <v>55</v>
      </c>
      <c r="C34" s="8" t="s">
        <v>31</v>
      </c>
      <c r="D34" s="8" t="s">
        <v>188</v>
      </c>
      <c r="E34" s="10" t="s">
        <v>189</v>
      </c>
      <c r="F34" s="10" t="s">
        <v>190</v>
      </c>
      <c r="G34" s="10"/>
      <c r="H34" s="10"/>
      <c r="I34" s="10"/>
      <c r="J34" s="10" t="s">
        <v>21</v>
      </c>
      <c r="K34" s="8" t="s">
        <v>16</v>
      </c>
      <c r="L34" s="11">
        <v>46103</v>
      </c>
      <c r="M34" s="8" t="s">
        <v>34</v>
      </c>
      <c r="N34" s="18">
        <v>1</v>
      </c>
    </row>
    <row r="35" spans="1:16" x14ac:dyDescent="0.25">
      <c r="A35" s="8" t="s">
        <v>29</v>
      </c>
      <c r="B35" s="8" t="s">
        <v>55</v>
      </c>
      <c r="C35" s="8" t="s">
        <v>31</v>
      </c>
      <c r="D35" s="10" t="s">
        <v>274</v>
      </c>
      <c r="E35" s="10" t="s">
        <v>206</v>
      </c>
      <c r="F35" s="10" t="s">
        <v>275</v>
      </c>
      <c r="G35" s="10"/>
      <c r="H35" s="10"/>
      <c r="I35" s="10"/>
      <c r="J35" s="10" t="s">
        <v>32</v>
      </c>
      <c r="K35" s="8" t="s">
        <v>16</v>
      </c>
      <c r="L35" s="11">
        <v>46447</v>
      </c>
      <c r="M35" s="8" t="s">
        <v>38</v>
      </c>
      <c r="N35" s="18">
        <v>104</v>
      </c>
    </row>
    <row r="36" spans="1:16" x14ac:dyDescent="0.25">
      <c r="A36" s="8" t="s">
        <v>18</v>
      </c>
      <c r="B36" s="8" t="s">
        <v>46</v>
      </c>
      <c r="C36" s="8" t="s">
        <v>8</v>
      </c>
      <c r="D36" s="10" t="s">
        <v>93</v>
      </c>
      <c r="E36" s="10" t="s">
        <v>182</v>
      </c>
      <c r="F36" s="10"/>
      <c r="G36" s="10"/>
      <c r="H36" s="10"/>
      <c r="I36" s="10"/>
      <c r="J36" s="10" t="s">
        <v>15</v>
      </c>
      <c r="K36" s="8" t="s">
        <v>22</v>
      </c>
      <c r="L36" s="11">
        <v>45107</v>
      </c>
      <c r="M36" s="8" t="s">
        <v>24</v>
      </c>
      <c r="N36" s="18">
        <v>20</v>
      </c>
      <c r="O36" s="12">
        <v>300000</v>
      </c>
    </row>
    <row r="37" spans="1:16" x14ac:dyDescent="0.25">
      <c r="A37" s="8" t="s">
        <v>24</v>
      </c>
      <c r="B37" s="8" t="s">
        <v>46</v>
      </c>
      <c r="C37" s="8" t="s">
        <v>8</v>
      </c>
      <c r="D37" s="10" t="s">
        <v>93</v>
      </c>
      <c r="E37" s="10" t="s">
        <v>182</v>
      </c>
      <c r="F37" s="10"/>
      <c r="G37" s="10"/>
      <c r="H37" s="10"/>
      <c r="I37" s="10"/>
      <c r="J37" s="10" t="s">
        <v>15</v>
      </c>
      <c r="K37" s="8" t="s">
        <v>16</v>
      </c>
      <c r="L37" s="11">
        <v>46203</v>
      </c>
      <c r="M37" s="8" t="str">
        <f>IF(AND(L37&gt;=DATE(2020,7,1), L37&lt;=DATE(2021,6,30)), "FY2021",
IF(AND(L37&gt;=DATE(2021,7,1), L37&lt;=DATE(2022,6,30)), "FY2022",
IF(AND(L37&gt;=DATE(2022,7,1), L37&lt;=DATE(2023,6,30)), "FY2023",
IF(AND(L37&gt;=DATE(2023,7,1), L37&lt;=DATE(2024,6,30)), "FY2024",
IF(AND(L37&gt;=DATE(2024,7,1), L37&lt;=DATE(2025,6,30)), "FY2025",
IF(AND(L37&gt;=DATE(2025,7,1), L37&lt;=DATE(2026,6,30)), "FY2026",
IF(AND(L37&gt;=DATE(2026,7,1), L37&lt;=DATE(2027,6,30)), "FY2027",
IF(AND(L37&gt;=DATE(2027,7,1), L37&lt;=DATE(2028,6,30)), "FY2028",
IF(AND(L37&gt;=DATE(2028,7,1), L37&lt;=DATE(2029,6,30)), "FY2029","")))))))))</f>
        <v>FY2026</v>
      </c>
      <c r="N37" s="18">
        <v>31</v>
      </c>
      <c r="O37" s="12">
        <v>500000</v>
      </c>
    </row>
    <row r="38" spans="1:16" x14ac:dyDescent="0.25">
      <c r="A38" s="8" t="s">
        <v>29</v>
      </c>
      <c r="B38" s="8" t="s">
        <v>46</v>
      </c>
      <c r="C38" s="8" t="s">
        <v>8</v>
      </c>
      <c r="D38" s="10" t="s">
        <v>93</v>
      </c>
      <c r="E38" s="10" t="s">
        <v>182</v>
      </c>
      <c r="F38" s="10"/>
      <c r="G38" s="10"/>
      <c r="H38" s="10"/>
      <c r="I38" s="10"/>
      <c r="J38" s="10" t="s">
        <v>15</v>
      </c>
      <c r="K38" s="8" t="s">
        <v>16</v>
      </c>
      <c r="L38" s="11">
        <v>46203</v>
      </c>
      <c r="M38" s="8" t="s">
        <v>34</v>
      </c>
      <c r="N38" s="18">
        <v>50</v>
      </c>
      <c r="O38" s="12">
        <v>800000</v>
      </c>
    </row>
    <row r="39" spans="1:16" x14ac:dyDescent="0.25">
      <c r="A39" s="8" t="s">
        <v>24</v>
      </c>
      <c r="B39" s="8" t="s">
        <v>39</v>
      </c>
      <c r="C39" s="8" t="s">
        <v>14</v>
      </c>
      <c r="D39" s="10" t="s">
        <v>408</v>
      </c>
      <c r="E39" s="10" t="s">
        <v>428</v>
      </c>
      <c r="F39" s="10"/>
      <c r="G39" s="10"/>
      <c r="H39" s="10"/>
      <c r="I39" s="10"/>
      <c r="J39" s="10" t="s">
        <v>15</v>
      </c>
      <c r="K39" s="8" t="s">
        <v>22</v>
      </c>
      <c r="L39" s="11">
        <v>45813</v>
      </c>
      <c r="M39" s="8" t="str">
        <f t="shared" ref="M39:M43" si="2">IF(AND(L39&gt;=DATE(2020,7,1), L39&lt;=DATE(2021,6,30)), "FY2021",
IF(AND(L39&gt;=DATE(2021,7,1), L39&lt;=DATE(2022,6,30)), "FY2022",
IF(AND(L39&gt;=DATE(2022,7,1), L39&lt;=DATE(2023,6,30)), "FY2023",
IF(AND(L39&gt;=DATE(2023,7,1), L39&lt;=DATE(2024,6,30)), "FY2024",
IF(AND(L39&gt;=DATE(2024,7,1), L39&lt;=DATE(2025,6,30)), "FY2025",
IF(AND(L39&gt;=DATE(2025,7,1), L39&lt;=DATE(2026,6,30)), "FY2026",
IF(AND(L39&gt;=DATE(2026,7,1), L39&lt;=DATE(2027,6,30)), "FY2027",
IF(AND(L39&gt;=DATE(2027,7,1), L39&lt;=DATE(2028,6,30)), "FY2028",
IF(AND(L39&gt;=DATE(2028,7,1), L39&lt;=DATE(2029,6,30)), "FY2029","")))))))))</f>
        <v>FY2025</v>
      </c>
      <c r="N39" s="18">
        <v>28</v>
      </c>
      <c r="O39" s="12">
        <v>724904.62</v>
      </c>
    </row>
    <row r="40" spans="1:16" x14ac:dyDescent="0.25">
      <c r="A40" s="8" t="s">
        <v>29</v>
      </c>
      <c r="B40" s="8" t="s">
        <v>39</v>
      </c>
      <c r="C40" s="8" t="s">
        <v>14</v>
      </c>
      <c r="D40" s="10" t="s">
        <v>408</v>
      </c>
      <c r="E40" s="10" t="s">
        <v>428</v>
      </c>
      <c r="F40" s="10"/>
      <c r="G40" s="10"/>
      <c r="H40" s="10"/>
      <c r="I40" s="10"/>
      <c r="J40" s="10" t="s">
        <v>15</v>
      </c>
      <c r="K40" s="8" t="s">
        <v>22</v>
      </c>
      <c r="L40" s="11">
        <v>45813</v>
      </c>
      <c r="M40" s="8" t="str">
        <f t="shared" si="2"/>
        <v>FY2025</v>
      </c>
      <c r="N40" s="18">
        <v>53</v>
      </c>
      <c r="O40" s="12">
        <v>1353630.08</v>
      </c>
    </row>
    <row r="41" spans="1:16" x14ac:dyDescent="0.25">
      <c r="A41" s="8" t="s">
        <v>34</v>
      </c>
      <c r="B41" s="8" t="s">
        <v>43</v>
      </c>
      <c r="C41" s="8" t="s">
        <v>14</v>
      </c>
      <c r="D41" s="10" t="s">
        <v>409</v>
      </c>
      <c r="E41" s="10" t="s">
        <v>428</v>
      </c>
      <c r="F41" s="10"/>
      <c r="G41" s="10"/>
      <c r="H41" s="10"/>
      <c r="I41" s="10"/>
      <c r="J41" s="10" t="s">
        <v>15</v>
      </c>
      <c r="K41" s="8" t="s">
        <v>16</v>
      </c>
      <c r="L41" s="11"/>
      <c r="M41" s="8" t="s">
        <v>38</v>
      </c>
      <c r="N41" s="18">
        <f>O41/30000</f>
        <v>73.333333333333329</v>
      </c>
      <c r="O41" s="12">
        <v>2200000</v>
      </c>
    </row>
    <row r="42" spans="1:16" x14ac:dyDescent="0.25">
      <c r="A42" s="8" t="s">
        <v>29</v>
      </c>
      <c r="B42" s="8" t="s">
        <v>39</v>
      </c>
      <c r="C42" s="8" t="s">
        <v>14</v>
      </c>
      <c r="D42" s="10" t="s">
        <v>93</v>
      </c>
      <c r="E42" s="10" t="s">
        <v>399</v>
      </c>
      <c r="F42" s="10"/>
      <c r="G42" s="10"/>
      <c r="H42" s="10"/>
      <c r="I42" s="10"/>
      <c r="J42" s="10" t="s">
        <v>15</v>
      </c>
      <c r="K42" s="8" t="s">
        <v>16</v>
      </c>
      <c r="L42" s="11"/>
      <c r="M42" s="8" t="s">
        <v>38</v>
      </c>
      <c r="N42" s="18">
        <v>30</v>
      </c>
      <c r="O42" s="12">
        <v>2200000</v>
      </c>
    </row>
    <row r="43" spans="1:16" x14ac:dyDescent="0.25">
      <c r="A43" s="8" t="s">
        <v>12</v>
      </c>
      <c r="B43" s="8" t="s">
        <v>25</v>
      </c>
      <c r="C43" s="8" t="s">
        <v>8</v>
      </c>
      <c r="D43" s="10" t="s">
        <v>186</v>
      </c>
      <c r="E43" s="10" t="s">
        <v>187</v>
      </c>
      <c r="F43" s="44" t="s">
        <v>451</v>
      </c>
      <c r="G43" s="10"/>
      <c r="H43" s="10"/>
      <c r="I43" s="10"/>
      <c r="J43" s="10" t="s">
        <v>40</v>
      </c>
      <c r="K43" s="8" t="s">
        <v>22</v>
      </c>
      <c r="L43" s="11">
        <v>45622</v>
      </c>
      <c r="M43" s="8" t="str">
        <f t="shared" si="2"/>
        <v>FY2025</v>
      </c>
      <c r="N43" s="18">
        <v>86</v>
      </c>
      <c r="O43" s="12">
        <v>600000</v>
      </c>
    </row>
    <row r="44" spans="1:16" x14ac:dyDescent="0.25">
      <c r="A44" s="8" t="s">
        <v>29</v>
      </c>
      <c r="B44" s="8" t="s">
        <v>13</v>
      </c>
      <c r="C44" s="8" t="s">
        <v>8</v>
      </c>
      <c r="D44" s="10" t="s">
        <v>386</v>
      </c>
      <c r="E44" s="10" t="s">
        <v>387</v>
      </c>
      <c r="F44" s="44" t="s">
        <v>450</v>
      </c>
      <c r="G44" s="10"/>
      <c r="H44" s="10"/>
      <c r="I44" s="10"/>
      <c r="J44" s="10" t="s">
        <v>40</v>
      </c>
      <c r="K44" s="8" t="s">
        <v>10</v>
      </c>
      <c r="L44" s="11">
        <v>46568</v>
      </c>
      <c r="M44" s="8" t="str">
        <f>IF(AND(L44&gt;=DATE(2020,7,1), L44&lt;=DATE(2021,6,30)), "FY2021",
IF(AND(L44&gt;=DATE(2021,7,1), L44&lt;=DATE(2022,6,30)), "FY2022",
IF(AND(L44&gt;=DATE(2022,7,1), L44&lt;=DATE(2023,6,30)), "FY2023",
IF(AND(L44&gt;=DATE(2023,7,1), L44&lt;=DATE(2024,6,30)), "FY2024",
IF(AND(L44&gt;=DATE(2024,7,1), L44&lt;=DATE(2025,6,30)), "FY2025",
IF(AND(L44&gt;=DATE(2025,7,1), L44&lt;=DATE(2026,6,30)), "FY2026",
IF(AND(L44&gt;=DATE(2026,7,1), L44&lt;=DATE(2027,6,30)), "FY2027",
IF(AND(L44&gt;=DATE(2027,7,1), L44&lt;=DATE(2028,6,30)), "FY2028",
IF(AND(L44&gt;=DATE(2028,7,1), L44&lt;=DATE(2029,6,30)), "FY2029","")))))))))</f>
        <v>FY2027</v>
      </c>
      <c r="N44" s="18">
        <v>82</v>
      </c>
      <c r="O44" s="12">
        <f>4964725.9+8719</f>
        <v>4973444.9000000004</v>
      </c>
      <c r="P44" s="8" t="s">
        <v>132</v>
      </c>
    </row>
    <row r="45" spans="1:16" x14ac:dyDescent="0.25">
      <c r="A45" s="8" t="s">
        <v>6</v>
      </c>
      <c r="B45" s="8" t="s">
        <v>7</v>
      </c>
      <c r="C45" s="8" t="s">
        <v>14</v>
      </c>
      <c r="D45" s="10" t="s">
        <v>174</v>
      </c>
      <c r="E45" s="10" t="s">
        <v>175</v>
      </c>
      <c r="F45" s="45" t="s">
        <v>436</v>
      </c>
      <c r="G45" s="10"/>
      <c r="H45" s="10"/>
      <c r="I45" s="10"/>
      <c r="J45" s="10" t="s">
        <v>27</v>
      </c>
      <c r="K45" s="8" t="s">
        <v>16</v>
      </c>
      <c r="L45" s="11">
        <v>46568</v>
      </c>
      <c r="M45" s="8" t="str">
        <f t="shared" ref="M45:M52" si="3">IF(AND(L45&gt;=DATE(2020,7,1), L45&lt;=DATE(2021,6,30)), "FY2021",
IF(AND(L45&gt;=DATE(2021,7,1), L45&lt;=DATE(2022,6,30)), "FY2022",
IF(AND(L45&gt;=DATE(2022,7,1), L45&lt;=DATE(2023,6,30)), "FY2023",
IF(AND(L45&gt;=DATE(2023,7,1), L45&lt;=DATE(2024,6,30)), "FY2024",
IF(AND(L45&gt;=DATE(2024,7,1), L45&lt;=DATE(2025,6,30)), "FY2025",
IF(AND(L45&gt;=DATE(2025,7,1), L45&lt;=DATE(2026,6,30)), "FY2026",
IF(AND(L45&gt;=DATE(2026,7,1), L45&lt;=DATE(2027,6,30)), "FY2027",
IF(AND(L45&gt;=DATE(2027,7,1), L45&lt;=DATE(2028,6,30)), "FY2028",
IF(AND(L45&gt;=DATE(2028,7,1), L45&lt;=DATE(2029,6,30)), "FY2029","")))))))))</f>
        <v>FY2027</v>
      </c>
      <c r="N45" s="18">
        <v>264</v>
      </c>
      <c r="O45" s="12">
        <v>300000</v>
      </c>
    </row>
    <row r="46" spans="1:16" ht="14.25" customHeight="1" x14ac:dyDescent="0.25">
      <c r="A46" s="8" t="s">
        <v>6</v>
      </c>
      <c r="B46" s="8" t="s">
        <v>7</v>
      </c>
      <c r="C46" s="8" t="s">
        <v>14</v>
      </c>
      <c r="D46" s="10" t="s">
        <v>208</v>
      </c>
      <c r="E46" s="10" t="s">
        <v>209</v>
      </c>
      <c r="F46" s="10" t="s">
        <v>437</v>
      </c>
      <c r="G46" s="10"/>
      <c r="H46" s="10"/>
      <c r="I46" s="10"/>
      <c r="J46" s="10" t="s">
        <v>9</v>
      </c>
      <c r="K46" s="8" t="s">
        <v>22</v>
      </c>
      <c r="L46" s="11">
        <v>45107</v>
      </c>
      <c r="M46" s="8" t="str">
        <f t="shared" si="3"/>
        <v>FY2023</v>
      </c>
      <c r="N46" s="18">
        <v>1</v>
      </c>
      <c r="O46" s="12">
        <v>60000</v>
      </c>
    </row>
    <row r="47" spans="1:16" x14ac:dyDescent="0.25">
      <c r="A47" s="8" t="s">
        <v>6</v>
      </c>
      <c r="B47" s="8" t="s">
        <v>7</v>
      </c>
      <c r="C47" s="8" t="s">
        <v>14</v>
      </c>
      <c r="D47" s="10" t="s">
        <v>210</v>
      </c>
      <c r="E47" s="10" t="s">
        <v>211</v>
      </c>
      <c r="F47" s="9" t="s">
        <v>438</v>
      </c>
      <c r="G47" s="10"/>
      <c r="H47" s="10"/>
      <c r="I47" s="10"/>
      <c r="J47" s="10" t="s">
        <v>9</v>
      </c>
      <c r="K47" s="8" t="s">
        <v>22</v>
      </c>
      <c r="L47" s="11">
        <v>45138</v>
      </c>
      <c r="M47" s="8" t="str">
        <f t="shared" si="3"/>
        <v>FY2024</v>
      </c>
      <c r="N47" s="18">
        <v>1</v>
      </c>
      <c r="O47" s="12">
        <v>50000</v>
      </c>
    </row>
    <row r="48" spans="1:16" x14ac:dyDescent="0.25">
      <c r="A48" s="8" t="s">
        <v>6</v>
      </c>
      <c r="B48" s="8" t="s">
        <v>7</v>
      </c>
      <c r="C48" s="8" t="s">
        <v>14</v>
      </c>
      <c r="D48" s="10" t="s">
        <v>210</v>
      </c>
      <c r="E48" s="10" t="s">
        <v>216</v>
      </c>
      <c r="F48" s="9" t="s">
        <v>439</v>
      </c>
      <c r="G48" s="10"/>
      <c r="H48" s="10"/>
      <c r="I48" s="10"/>
      <c r="J48" s="10" t="s">
        <v>9</v>
      </c>
      <c r="K48" s="8" t="s">
        <v>22</v>
      </c>
      <c r="L48" s="11">
        <v>45473</v>
      </c>
      <c r="M48" s="8" t="str">
        <f t="shared" si="3"/>
        <v>FY2024</v>
      </c>
      <c r="N48" s="18">
        <v>4</v>
      </c>
      <c r="O48" s="12">
        <v>285700</v>
      </c>
    </row>
    <row r="49" spans="1:17" x14ac:dyDescent="0.25">
      <c r="A49" s="8" t="s">
        <v>6</v>
      </c>
      <c r="B49" s="8" t="s">
        <v>7</v>
      </c>
      <c r="C49" s="8" t="s">
        <v>14</v>
      </c>
      <c r="D49" s="10" t="s">
        <v>212</v>
      </c>
      <c r="E49" s="10" t="s">
        <v>211</v>
      </c>
      <c r="F49" s="9" t="s">
        <v>438</v>
      </c>
      <c r="G49" s="10"/>
      <c r="H49" s="10"/>
      <c r="I49" s="10"/>
      <c r="J49" s="10" t="s">
        <v>9</v>
      </c>
      <c r="K49" s="8" t="s">
        <v>22</v>
      </c>
      <c r="L49" s="11">
        <v>45138</v>
      </c>
      <c r="M49" s="8" t="str">
        <f t="shared" si="3"/>
        <v>FY2024</v>
      </c>
      <c r="N49" s="18">
        <v>1</v>
      </c>
      <c r="O49" s="12">
        <v>50000</v>
      </c>
    </row>
    <row r="50" spans="1:17" x14ac:dyDescent="0.25">
      <c r="A50" s="8" t="s">
        <v>6</v>
      </c>
      <c r="B50" s="8" t="s">
        <v>7</v>
      </c>
      <c r="C50" s="8" t="s">
        <v>14</v>
      </c>
      <c r="D50" s="10" t="s">
        <v>225</v>
      </c>
      <c r="E50" s="10" t="s">
        <v>238</v>
      </c>
      <c r="F50" s="9" t="s">
        <v>435</v>
      </c>
      <c r="G50" s="10"/>
      <c r="H50" s="10"/>
      <c r="I50" s="10"/>
      <c r="J50" s="10" t="s">
        <v>9</v>
      </c>
      <c r="K50" s="8" t="s">
        <v>22</v>
      </c>
      <c r="L50" s="11">
        <v>44742</v>
      </c>
      <c r="M50" s="8" t="str">
        <f t="shared" si="3"/>
        <v>FY2022</v>
      </c>
      <c r="N50" s="18">
        <v>38</v>
      </c>
      <c r="O50" s="12">
        <v>150000</v>
      </c>
    </row>
    <row r="51" spans="1:17" ht="30" x14ac:dyDescent="0.25">
      <c r="A51" s="8" t="s">
        <v>6</v>
      </c>
      <c r="B51" s="8" t="s">
        <v>7</v>
      </c>
      <c r="C51" s="8" t="s">
        <v>14</v>
      </c>
      <c r="D51" s="10" t="s">
        <v>212</v>
      </c>
      <c r="E51" s="10" t="s">
        <v>230</v>
      </c>
      <c r="F51" s="9" t="s">
        <v>440</v>
      </c>
      <c r="G51" s="10"/>
      <c r="H51" s="10"/>
      <c r="I51" s="10"/>
      <c r="J51" s="10" t="s">
        <v>9</v>
      </c>
      <c r="K51" s="8" t="s">
        <v>22</v>
      </c>
      <c r="L51" s="11">
        <v>44941</v>
      </c>
      <c r="M51" s="8" t="str">
        <f t="shared" si="3"/>
        <v>FY2023</v>
      </c>
      <c r="N51" s="18">
        <v>7</v>
      </c>
      <c r="O51" s="12">
        <v>153965</v>
      </c>
    </row>
    <row r="52" spans="1:17" ht="45" x14ac:dyDescent="0.25">
      <c r="A52" s="8" t="s">
        <v>6</v>
      </c>
      <c r="B52" s="8" t="s">
        <v>7</v>
      </c>
      <c r="C52" s="8" t="s">
        <v>14</v>
      </c>
      <c r="D52" s="10" t="s">
        <v>225</v>
      </c>
      <c r="E52" s="10" t="s">
        <v>226</v>
      </c>
      <c r="F52" s="17" t="s">
        <v>421</v>
      </c>
      <c r="G52" s="10"/>
      <c r="H52" s="10"/>
      <c r="I52" s="10"/>
      <c r="J52" s="10" t="s">
        <v>9</v>
      </c>
      <c r="K52" s="8" t="s">
        <v>22</v>
      </c>
      <c r="L52" s="11">
        <v>45107</v>
      </c>
      <c r="M52" s="8" t="str">
        <f t="shared" si="3"/>
        <v>FY2023</v>
      </c>
      <c r="N52" s="18">
        <v>8</v>
      </c>
      <c r="O52" s="12">
        <v>200000</v>
      </c>
    </row>
    <row r="53" spans="1:17" x14ac:dyDescent="0.25">
      <c r="A53" s="8" t="s">
        <v>12</v>
      </c>
      <c r="B53" s="8" t="s">
        <v>7</v>
      </c>
      <c r="C53" s="8" t="s">
        <v>14</v>
      </c>
      <c r="D53" s="10" t="s">
        <v>180</v>
      </c>
      <c r="E53" s="10" t="s">
        <v>181</v>
      </c>
      <c r="F53" s="10"/>
      <c r="G53" s="10"/>
      <c r="H53" s="10"/>
      <c r="I53" s="10"/>
      <c r="J53" s="10" t="s">
        <v>15</v>
      </c>
      <c r="K53" s="8" t="s">
        <v>22</v>
      </c>
      <c r="L53" s="11">
        <v>44925</v>
      </c>
      <c r="M53" s="8" t="s">
        <v>18</v>
      </c>
      <c r="N53" s="18">
        <v>15</v>
      </c>
      <c r="O53" s="12">
        <v>436128</v>
      </c>
    </row>
    <row r="54" spans="1:17" x14ac:dyDescent="0.25">
      <c r="A54" s="8" t="s">
        <v>12</v>
      </c>
      <c r="B54" s="8" t="s">
        <v>7</v>
      </c>
      <c r="C54" s="8" t="s">
        <v>14</v>
      </c>
      <c r="D54" s="10" t="s">
        <v>212</v>
      </c>
      <c r="E54" s="10" t="s">
        <v>219</v>
      </c>
      <c r="F54" s="10"/>
      <c r="G54" s="10"/>
      <c r="H54" s="10"/>
      <c r="I54" s="10"/>
      <c r="J54" s="10" t="s">
        <v>9</v>
      </c>
      <c r="K54" s="8" t="s">
        <v>22</v>
      </c>
      <c r="L54" s="11">
        <v>45138</v>
      </c>
      <c r="M54" s="8" t="str">
        <f t="shared" ref="M54:M68" si="4">IF(AND(L54&gt;=DATE(2020,7,1), L54&lt;=DATE(2021,6,30)), "FY2021",
IF(AND(L54&gt;=DATE(2021,7,1), L54&lt;=DATE(2022,6,30)), "FY2022",
IF(AND(L54&gt;=DATE(2022,7,1), L54&lt;=DATE(2023,6,30)), "FY2023",
IF(AND(L54&gt;=DATE(2023,7,1), L54&lt;=DATE(2024,6,30)), "FY2024",
IF(AND(L54&gt;=DATE(2024,7,1), L54&lt;=DATE(2025,6,30)), "FY2025",
IF(AND(L54&gt;=DATE(2025,7,1), L54&lt;=DATE(2026,6,30)), "FY2026",
IF(AND(L54&gt;=DATE(2026,7,1), L54&lt;=DATE(2027,6,30)), "FY2027",
IF(AND(L54&gt;=DATE(2027,7,1), L54&lt;=DATE(2028,6,30)), "FY2028",
IF(AND(L54&gt;=DATE(2028,7,1), L54&lt;=DATE(2029,6,30)), "FY2029","")))))))))</f>
        <v>FY2024</v>
      </c>
      <c r="N54" s="18">
        <v>5</v>
      </c>
      <c r="O54" s="12">
        <v>270000</v>
      </c>
    </row>
    <row r="55" spans="1:17" ht="45" x14ac:dyDescent="0.25">
      <c r="A55" s="8" t="s">
        <v>12</v>
      </c>
      <c r="B55" s="8" t="s">
        <v>7</v>
      </c>
      <c r="C55" s="8" t="s">
        <v>14</v>
      </c>
      <c r="D55" s="10" t="s">
        <v>225</v>
      </c>
      <c r="E55" s="10" t="s">
        <v>226</v>
      </c>
      <c r="F55" s="17" t="s">
        <v>421</v>
      </c>
      <c r="G55" s="10"/>
      <c r="H55" s="10"/>
      <c r="I55" s="10"/>
      <c r="J55" s="10" t="s">
        <v>9</v>
      </c>
      <c r="K55" s="8" t="s">
        <v>22</v>
      </c>
      <c r="L55" s="11">
        <v>45137</v>
      </c>
      <c r="M55" s="8" t="str">
        <f t="shared" si="4"/>
        <v>FY2024</v>
      </c>
      <c r="N55" s="18">
        <v>5</v>
      </c>
      <c r="O55" s="12">
        <v>200000</v>
      </c>
    </row>
    <row r="56" spans="1:17" x14ac:dyDescent="0.25">
      <c r="A56" s="8" t="s">
        <v>18</v>
      </c>
      <c r="B56" s="8" t="s">
        <v>7</v>
      </c>
      <c r="C56" s="8" t="s">
        <v>14</v>
      </c>
      <c r="D56" s="10" t="s">
        <v>125</v>
      </c>
      <c r="E56" s="10" t="s">
        <v>126</v>
      </c>
      <c r="F56" s="46" t="s">
        <v>441</v>
      </c>
      <c r="G56" s="10"/>
      <c r="H56" s="10"/>
      <c r="I56" s="10"/>
      <c r="J56" s="10" t="s">
        <v>27</v>
      </c>
      <c r="K56" s="8" t="s">
        <v>22</v>
      </c>
      <c r="L56" s="11">
        <v>45107</v>
      </c>
      <c r="M56" s="8" t="str">
        <f t="shared" si="4"/>
        <v>FY2023</v>
      </c>
      <c r="N56" s="18">
        <v>67</v>
      </c>
      <c r="O56" s="12">
        <v>347800</v>
      </c>
      <c r="P56" s="8" t="s">
        <v>111</v>
      </c>
    </row>
    <row r="57" spans="1:17" x14ac:dyDescent="0.25">
      <c r="A57" s="8" t="s">
        <v>18</v>
      </c>
      <c r="B57" s="8" t="s">
        <v>7</v>
      </c>
      <c r="C57" s="8" t="s">
        <v>14</v>
      </c>
      <c r="D57" s="10" t="s">
        <v>104</v>
      </c>
      <c r="E57" s="10" t="s">
        <v>377</v>
      </c>
      <c r="F57" s="8" t="s">
        <v>431</v>
      </c>
      <c r="G57" s="10"/>
      <c r="H57" s="10"/>
      <c r="I57" s="10"/>
      <c r="J57" s="10" t="s">
        <v>27</v>
      </c>
      <c r="K57" s="8" t="s">
        <v>22</v>
      </c>
      <c r="L57" s="11">
        <v>45838</v>
      </c>
      <c r="M57" s="8" t="str">
        <f t="shared" si="4"/>
        <v>FY2025</v>
      </c>
      <c r="N57" s="18">
        <v>68</v>
      </c>
      <c r="O57" s="12">
        <v>200000</v>
      </c>
    </row>
    <row r="58" spans="1:17" x14ac:dyDescent="0.25">
      <c r="A58" s="8" t="s">
        <v>18</v>
      </c>
      <c r="B58" s="8" t="s">
        <v>7</v>
      </c>
      <c r="C58" s="8" t="s">
        <v>14</v>
      </c>
      <c r="D58" s="10" t="s">
        <v>212</v>
      </c>
      <c r="E58" s="10" t="s">
        <v>220</v>
      </c>
      <c r="F58" s="10"/>
      <c r="G58" s="10"/>
      <c r="H58" s="10"/>
      <c r="I58" s="10"/>
      <c r="J58" s="10" t="s">
        <v>9</v>
      </c>
      <c r="K58" s="8" t="s">
        <v>22</v>
      </c>
      <c r="L58" s="11">
        <v>45657</v>
      </c>
      <c r="M58" s="8" t="str">
        <f t="shared" si="4"/>
        <v>FY2025</v>
      </c>
      <c r="N58" s="18">
        <v>5</v>
      </c>
      <c r="O58" s="12">
        <v>255000</v>
      </c>
    </row>
    <row r="59" spans="1:17" ht="45" x14ac:dyDescent="0.25">
      <c r="A59" s="8" t="s">
        <v>18</v>
      </c>
      <c r="B59" s="8" t="s">
        <v>7</v>
      </c>
      <c r="C59" s="8" t="s">
        <v>14</v>
      </c>
      <c r="D59" s="10" t="s">
        <v>225</v>
      </c>
      <c r="E59" s="10" t="s">
        <v>226</v>
      </c>
      <c r="F59" s="17" t="s">
        <v>421</v>
      </c>
      <c r="G59" s="10"/>
      <c r="H59" s="10"/>
      <c r="I59" s="10"/>
      <c r="J59" s="10" t="s">
        <v>9</v>
      </c>
      <c r="K59" s="8" t="s">
        <v>22</v>
      </c>
      <c r="L59" s="11">
        <v>45137</v>
      </c>
      <c r="M59" s="8" t="str">
        <f t="shared" si="4"/>
        <v>FY2024</v>
      </c>
      <c r="N59" s="18"/>
      <c r="O59" s="12">
        <v>385000</v>
      </c>
      <c r="Q59" s="8" t="s">
        <v>378</v>
      </c>
    </row>
    <row r="60" spans="1:17" x14ac:dyDescent="0.25">
      <c r="A60" s="8" t="s">
        <v>24</v>
      </c>
      <c r="B60" s="8" t="s">
        <v>7</v>
      </c>
      <c r="C60" s="8" t="s">
        <v>14</v>
      </c>
      <c r="D60" s="10" t="s">
        <v>125</v>
      </c>
      <c r="E60" s="10" t="s">
        <v>206</v>
      </c>
      <c r="F60" s="47" t="s">
        <v>205</v>
      </c>
      <c r="G60" s="10"/>
      <c r="H60" s="10"/>
      <c r="I60" s="10"/>
      <c r="J60" s="10" t="s">
        <v>21</v>
      </c>
      <c r="K60" s="8" t="s">
        <v>16</v>
      </c>
      <c r="L60" s="11">
        <v>46203</v>
      </c>
      <c r="M60" s="8" t="str">
        <f t="shared" si="4"/>
        <v>FY2026</v>
      </c>
      <c r="N60" s="18">
        <v>104</v>
      </c>
      <c r="O60" s="12">
        <v>250000</v>
      </c>
    </row>
    <row r="61" spans="1:17" x14ac:dyDescent="0.25">
      <c r="A61" s="8" t="s">
        <v>24</v>
      </c>
      <c r="B61" s="8" t="s">
        <v>7</v>
      </c>
      <c r="C61" s="8" t="s">
        <v>14</v>
      </c>
      <c r="D61" s="10" t="s">
        <v>364</v>
      </c>
      <c r="E61" s="10" t="s">
        <v>379</v>
      </c>
      <c r="F61" s="48" t="s">
        <v>365</v>
      </c>
      <c r="G61" s="10"/>
      <c r="H61" s="10"/>
      <c r="I61" s="10"/>
      <c r="J61" s="10" t="s">
        <v>27</v>
      </c>
      <c r="K61" s="8" t="s">
        <v>16</v>
      </c>
      <c r="L61" s="11">
        <v>46203</v>
      </c>
      <c r="M61" s="8" t="str">
        <f t="shared" si="4"/>
        <v>FY2026</v>
      </c>
      <c r="N61" s="18">
        <v>43</v>
      </c>
      <c r="O61" s="12">
        <v>250000</v>
      </c>
    </row>
    <row r="62" spans="1:17" x14ac:dyDescent="0.25">
      <c r="A62" s="8" t="s">
        <v>24</v>
      </c>
      <c r="B62" s="8" t="s">
        <v>7</v>
      </c>
      <c r="C62" s="8" t="s">
        <v>14</v>
      </c>
      <c r="D62" s="10" t="s">
        <v>380</v>
      </c>
      <c r="E62" s="10" t="s">
        <v>381</v>
      </c>
      <c r="F62" s="48" t="s">
        <v>442</v>
      </c>
      <c r="G62" s="10"/>
      <c r="H62" s="10"/>
      <c r="I62" s="10"/>
      <c r="J62" s="10" t="s">
        <v>9</v>
      </c>
      <c r="K62" s="8" t="s">
        <v>16</v>
      </c>
      <c r="L62" s="11">
        <v>46022</v>
      </c>
      <c r="M62" s="8" t="str">
        <f t="shared" si="4"/>
        <v>FY2026</v>
      </c>
      <c r="N62" s="18">
        <v>5</v>
      </c>
      <c r="O62" s="12">
        <v>399985</v>
      </c>
    </row>
    <row r="63" spans="1:17" x14ac:dyDescent="0.25">
      <c r="A63" s="8" t="s">
        <v>24</v>
      </c>
      <c r="B63" s="8" t="s">
        <v>7</v>
      </c>
      <c r="C63" s="8" t="s">
        <v>14</v>
      </c>
      <c r="D63" s="10" t="s">
        <v>104</v>
      </c>
      <c r="E63" s="10" t="s">
        <v>349</v>
      </c>
      <c r="F63" s="48" t="s">
        <v>442</v>
      </c>
      <c r="G63" s="10"/>
      <c r="H63" s="10"/>
      <c r="I63" s="10"/>
      <c r="J63" s="10" t="s">
        <v>27</v>
      </c>
      <c r="K63" s="8" t="s">
        <v>16</v>
      </c>
      <c r="L63" s="11">
        <v>46203</v>
      </c>
      <c r="M63" s="8" t="str">
        <f t="shared" si="4"/>
        <v>FY2026</v>
      </c>
      <c r="N63" s="18">
        <v>72</v>
      </c>
      <c r="O63" s="12">
        <v>300000</v>
      </c>
    </row>
    <row r="64" spans="1:17" x14ac:dyDescent="0.25">
      <c r="A64" s="8" t="s">
        <v>24</v>
      </c>
      <c r="B64" s="8" t="s">
        <v>7</v>
      </c>
      <c r="C64" s="8" t="s">
        <v>14</v>
      </c>
      <c r="D64" s="10" t="s">
        <v>227</v>
      </c>
      <c r="E64" s="10" t="s">
        <v>228</v>
      </c>
      <c r="F64" s="10"/>
      <c r="G64" s="10"/>
      <c r="H64" s="10"/>
      <c r="I64" s="10"/>
      <c r="J64" s="10" t="s">
        <v>9</v>
      </c>
      <c r="K64" s="8" t="s">
        <v>16</v>
      </c>
      <c r="L64" s="11">
        <v>46203</v>
      </c>
      <c r="M64" s="8" t="str">
        <f t="shared" si="4"/>
        <v>FY2026</v>
      </c>
      <c r="N64" s="18">
        <v>6</v>
      </c>
      <c r="O64" s="12">
        <v>302383</v>
      </c>
    </row>
    <row r="65" spans="1:16" x14ac:dyDescent="0.25">
      <c r="A65" s="8" t="s">
        <v>34</v>
      </c>
      <c r="B65" s="8" t="s">
        <v>7</v>
      </c>
      <c r="C65" s="8" t="s">
        <v>14</v>
      </c>
      <c r="D65" s="10" t="s">
        <v>117</v>
      </c>
      <c r="E65" s="10" t="s">
        <v>382</v>
      </c>
      <c r="F65" s="44"/>
      <c r="G65" s="10"/>
      <c r="H65" s="10"/>
      <c r="I65" s="13" t="s">
        <v>118</v>
      </c>
      <c r="J65" s="10" t="s">
        <v>27</v>
      </c>
      <c r="K65" s="8" t="s">
        <v>16</v>
      </c>
      <c r="L65" s="11">
        <v>46568</v>
      </c>
      <c r="M65" s="8" t="str">
        <f t="shared" si="4"/>
        <v>FY2027</v>
      </c>
      <c r="N65" s="18">
        <v>50</v>
      </c>
      <c r="O65" s="12">
        <v>750000</v>
      </c>
    </row>
    <row r="66" spans="1:16" x14ac:dyDescent="0.25">
      <c r="A66" s="8" t="s">
        <v>34</v>
      </c>
      <c r="B66" s="8" t="s">
        <v>7</v>
      </c>
      <c r="C66" s="8" t="s">
        <v>14</v>
      </c>
      <c r="D66" s="10" t="s">
        <v>383</v>
      </c>
      <c r="E66" s="10" t="s">
        <v>384</v>
      </c>
      <c r="F66" s="10"/>
      <c r="G66" s="10"/>
      <c r="H66" s="10"/>
      <c r="I66" s="10"/>
      <c r="J66" s="10" t="s">
        <v>9</v>
      </c>
      <c r="K66" s="8" t="s">
        <v>16</v>
      </c>
      <c r="L66" s="11">
        <v>46568</v>
      </c>
      <c r="M66" s="8" t="str">
        <f t="shared" si="4"/>
        <v>FY2027</v>
      </c>
      <c r="N66" s="18">
        <v>7</v>
      </c>
      <c r="O66" s="12">
        <v>420000</v>
      </c>
    </row>
    <row r="67" spans="1:16" x14ac:dyDescent="0.25">
      <c r="A67" s="8" t="s">
        <v>34</v>
      </c>
      <c r="B67" s="8" t="s">
        <v>7</v>
      </c>
      <c r="C67" s="8" t="s">
        <v>14</v>
      </c>
      <c r="D67" s="10" t="s">
        <v>180</v>
      </c>
      <c r="E67" s="10" t="s">
        <v>385</v>
      </c>
      <c r="F67" s="10"/>
      <c r="G67" s="10"/>
      <c r="H67" s="10"/>
      <c r="I67" s="10"/>
      <c r="J67" s="10" t="s">
        <v>15</v>
      </c>
      <c r="K67" s="8" t="s">
        <v>16</v>
      </c>
      <c r="L67" s="11">
        <v>46203</v>
      </c>
      <c r="M67" s="8" t="str">
        <f t="shared" si="4"/>
        <v>FY2026</v>
      </c>
      <c r="N67" s="18">
        <v>10</v>
      </c>
      <c r="O67" s="12">
        <v>600033</v>
      </c>
    </row>
    <row r="68" spans="1:16" x14ac:dyDescent="0.25">
      <c r="A68" s="8" t="s">
        <v>34</v>
      </c>
      <c r="B68" s="8" t="s">
        <v>7</v>
      </c>
      <c r="C68" s="8" t="s">
        <v>14</v>
      </c>
      <c r="D68" s="10" t="s">
        <v>172</v>
      </c>
      <c r="E68" s="10" t="s">
        <v>268</v>
      </c>
      <c r="F68" s="44" t="s">
        <v>269</v>
      </c>
      <c r="G68" s="10"/>
      <c r="H68" s="10"/>
      <c r="I68" s="17"/>
      <c r="J68" s="10" t="s">
        <v>27</v>
      </c>
      <c r="K68" s="8" t="s">
        <v>16</v>
      </c>
      <c r="L68" s="11">
        <v>46568</v>
      </c>
      <c r="M68" s="8" t="str">
        <f t="shared" si="4"/>
        <v>FY2027</v>
      </c>
      <c r="N68" s="18">
        <v>266</v>
      </c>
      <c r="O68" s="12">
        <v>1315013</v>
      </c>
    </row>
    <row r="69" spans="1:16" x14ac:dyDescent="0.25">
      <c r="A69" s="8" t="s">
        <v>34</v>
      </c>
      <c r="B69" s="8" t="s">
        <v>19</v>
      </c>
      <c r="C69" s="8" t="s">
        <v>8</v>
      </c>
      <c r="D69" s="8" t="s">
        <v>180</v>
      </c>
      <c r="E69" s="8" t="s">
        <v>388</v>
      </c>
      <c r="F69" s="38"/>
      <c r="G69" s="39"/>
      <c r="H69" s="38"/>
      <c r="I69" s="38"/>
      <c r="J69" s="8" t="s">
        <v>15</v>
      </c>
      <c r="K69" s="8" t="s">
        <v>16</v>
      </c>
      <c r="L69" s="11">
        <v>46203</v>
      </c>
      <c r="M69" s="8" t="s">
        <v>34</v>
      </c>
      <c r="N69" s="8">
        <v>43</v>
      </c>
      <c r="O69" s="12">
        <v>618750</v>
      </c>
    </row>
    <row r="70" spans="1:16" x14ac:dyDescent="0.25">
      <c r="A70" s="8" t="s">
        <v>34</v>
      </c>
      <c r="B70" s="8" t="s">
        <v>19</v>
      </c>
      <c r="C70" s="8" t="s">
        <v>8</v>
      </c>
      <c r="D70" s="8" t="s">
        <v>180</v>
      </c>
      <c r="E70" s="8" t="s">
        <v>389</v>
      </c>
      <c r="F70" s="49" t="s">
        <v>443</v>
      </c>
      <c r="G70" s="39"/>
      <c r="H70" s="38"/>
      <c r="I70" s="38"/>
      <c r="J70" s="8" t="s">
        <v>9</v>
      </c>
      <c r="K70" s="8" t="s">
        <v>16</v>
      </c>
      <c r="L70" s="11">
        <v>46568</v>
      </c>
      <c r="M70" s="8" t="s">
        <v>38</v>
      </c>
      <c r="N70" s="8">
        <v>2</v>
      </c>
      <c r="O70" s="12">
        <v>189288</v>
      </c>
    </row>
    <row r="71" spans="1:16" x14ac:dyDescent="0.25">
      <c r="A71" s="8" t="s">
        <v>34</v>
      </c>
      <c r="B71" s="8" t="s">
        <v>19</v>
      </c>
      <c r="C71" s="8" t="s">
        <v>8</v>
      </c>
      <c r="D71" s="8" t="s">
        <v>383</v>
      </c>
      <c r="E71" s="8" t="s">
        <v>390</v>
      </c>
      <c r="F71" s="38"/>
      <c r="G71" s="39"/>
      <c r="H71" s="38"/>
      <c r="I71" s="38"/>
      <c r="J71" s="8" t="s">
        <v>15</v>
      </c>
      <c r="K71" s="8" t="s">
        <v>16</v>
      </c>
      <c r="L71" s="11">
        <v>46203</v>
      </c>
      <c r="M71" s="8" t="s">
        <v>34</v>
      </c>
      <c r="N71" s="8">
        <v>15</v>
      </c>
      <c r="O71" s="12">
        <v>297000</v>
      </c>
    </row>
    <row r="72" spans="1:16" x14ac:dyDescent="0.25">
      <c r="A72" s="8" t="s">
        <v>29</v>
      </c>
      <c r="B72" s="8" t="s">
        <v>19</v>
      </c>
      <c r="C72" s="8" t="s">
        <v>8</v>
      </c>
      <c r="D72" s="10" t="s">
        <v>180</v>
      </c>
      <c r="E72" s="10" t="s">
        <v>391</v>
      </c>
      <c r="F72" s="10"/>
      <c r="G72" s="10"/>
      <c r="H72" s="10"/>
      <c r="I72" s="10"/>
      <c r="J72" s="10" t="s">
        <v>15</v>
      </c>
      <c r="K72" s="8" t="s">
        <v>16</v>
      </c>
      <c r="L72" s="11">
        <v>46021</v>
      </c>
      <c r="M72" s="8" t="s">
        <v>34</v>
      </c>
      <c r="N72" s="18">
        <v>32</v>
      </c>
      <c r="O72" s="12">
        <v>783735</v>
      </c>
    </row>
    <row r="73" spans="1:16" x14ac:dyDescent="0.25">
      <c r="A73" s="8" t="s">
        <v>29</v>
      </c>
      <c r="B73" s="8" t="s">
        <v>19</v>
      </c>
      <c r="C73" s="8" t="s">
        <v>8</v>
      </c>
      <c r="D73" s="8" t="s">
        <v>212</v>
      </c>
      <c r="E73" s="10" t="s">
        <v>392</v>
      </c>
      <c r="F73" s="10"/>
      <c r="G73" s="10"/>
      <c r="H73" s="10"/>
      <c r="I73" s="10"/>
      <c r="J73" s="10" t="s">
        <v>15</v>
      </c>
      <c r="K73" s="8" t="s">
        <v>16</v>
      </c>
      <c r="L73" s="11">
        <v>46021</v>
      </c>
      <c r="M73" s="8" t="s">
        <v>34</v>
      </c>
      <c r="N73" s="18">
        <v>7</v>
      </c>
      <c r="O73" s="12">
        <v>200000</v>
      </c>
    </row>
    <row r="74" spans="1:16" x14ac:dyDescent="0.25">
      <c r="A74" s="8" t="s">
        <v>29</v>
      </c>
      <c r="B74" s="8" t="s">
        <v>19</v>
      </c>
      <c r="C74" s="8" t="s">
        <v>8</v>
      </c>
      <c r="D74" s="8" t="s">
        <v>393</v>
      </c>
      <c r="E74" s="10" t="s">
        <v>394</v>
      </c>
      <c r="F74" s="10"/>
      <c r="G74" s="10"/>
      <c r="H74" s="10"/>
      <c r="I74" s="10"/>
      <c r="J74" s="10" t="s">
        <v>15</v>
      </c>
      <c r="K74" s="8" t="s">
        <v>16</v>
      </c>
      <c r="L74" s="11">
        <v>46203</v>
      </c>
      <c r="M74" s="8" t="s">
        <v>34</v>
      </c>
      <c r="N74" s="18">
        <v>2</v>
      </c>
      <c r="O74" s="12">
        <v>250000</v>
      </c>
    </row>
    <row r="75" spans="1:16" x14ac:dyDescent="0.25">
      <c r="A75" s="8" t="s">
        <v>24</v>
      </c>
      <c r="B75" s="8" t="s">
        <v>19</v>
      </c>
      <c r="C75" s="8" t="s">
        <v>8</v>
      </c>
      <c r="D75" s="10" t="s">
        <v>180</v>
      </c>
      <c r="E75" s="10" t="s">
        <v>391</v>
      </c>
      <c r="F75" s="10"/>
      <c r="G75" s="10"/>
      <c r="H75" s="10"/>
      <c r="I75" s="10"/>
      <c r="J75" s="10" t="s">
        <v>15</v>
      </c>
      <c r="K75" s="8" t="s">
        <v>22</v>
      </c>
      <c r="L75" s="11">
        <v>45473</v>
      </c>
      <c r="M75" s="8" t="s">
        <v>24</v>
      </c>
      <c r="N75" s="18">
        <v>34</v>
      </c>
      <c r="O75" s="12">
        <v>500000</v>
      </c>
    </row>
    <row r="76" spans="1:16" x14ac:dyDescent="0.25">
      <c r="A76" s="8" t="s">
        <v>24</v>
      </c>
      <c r="B76" s="8" t="s">
        <v>19</v>
      </c>
      <c r="C76" s="8" t="s">
        <v>8</v>
      </c>
      <c r="D76" s="10" t="s">
        <v>212</v>
      </c>
      <c r="E76" s="10" t="s">
        <v>395</v>
      </c>
      <c r="F76" s="10"/>
      <c r="G76" s="10"/>
      <c r="H76" s="10"/>
      <c r="I76" s="10"/>
      <c r="J76" s="10" t="s">
        <v>15</v>
      </c>
      <c r="K76" s="8" t="s">
        <v>22</v>
      </c>
      <c r="L76" s="11">
        <v>45473</v>
      </c>
      <c r="M76" s="8" t="s">
        <v>24</v>
      </c>
      <c r="N76" s="18">
        <v>3</v>
      </c>
      <c r="O76" s="12">
        <v>175000</v>
      </c>
    </row>
    <row r="77" spans="1:16" x14ac:dyDescent="0.25">
      <c r="A77" s="8" t="s">
        <v>18</v>
      </c>
      <c r="B77" s="8" t="s">
        <v>19</v>
      </c>
      <c r="C77" s="8" t="s">
        <v>8</v>
      </c>
      <c r="D77" s="10" t="s">
        <v>125</v>
      </c>
      <c r="E77" s="10" t="s">
        <v>126</v>
      </c>
      <c r="F77" s="46" t="s">
        <v>441</v>
      </c>
      <c r="G77" s="10"/>
      <c r="H77" s="10"/>
      <c r="I77" s="10"/>
      <c r="J77" s="10" t="s">
        <v>27</v>
      </c>
      <c r="K77" s="8" t="s">
        <v>22</v>
      </c>
      <c r="L77" s="11">
        <v>45107</v>
      </c>
      <c r="M77" s="8" t="s">
        <v>18</v>
      </c>
      <c r="N77" s="18">
        <v>67</v>
      </c>
      <c r="O77" s="12">
        <v>402200</v>
      </c>
      <c r="P77" s="8" t="s">
        <v>63</v>
      </c>
    </row>
    <row r="78" spans="1:16" x14ac:dyDescent="0.25">
      <c r="A78" s="8" t="s">
        <v>18</v>
      </c>
      <c r="B78" s="8" t="s">
        <v>19</v>
      </c>
      <c r="C78" s="8" t="s">
        <v>8</v>
      </c>
      <c r="D78" s="10" t="s">
        <v>396</v>
      </c>
      <c r="E78" s="10" t="s">
        <v>397</v>
      </c>
      <c r="F78" s="10"/>
      <c r="G78" s="10"/>
      <c r="H78" s="10"/>
      <c r="I78" s="10"/>
      <c r="J78" s="10" t="s">
        <v>15</v>
      </c>
      <c r="K78" s="8" t="s">
        <v>22</v>
      </c>
      <c r="L78" s="11">
        <v>45291</v>
      </c>
      <c r="M78" s="8" t="s">
        <v>24</v>
      </c>
      <c r="N78" s="18">
        <v>8</v>
      </c>
      <c r="O78" s="12">
        <v>150000</v>
      </c>
    </row>
    <row r="79" spans="1:16" x14ac:dyDescent="0.25">
      <c r="A79" s="8" t="s">
        <v>18</v>
      </c>
      <c r="B79" s="8" t="s">
        <v>19</v>
      </c>
      <c r="C79" s="8" t="s">
        <v>8</v>
      </c>
      <c r="D79" s="10" t="s">
        <v>180</v>
      </c>
      <c r="E79" s="10" t="s">
        <v>397</v>
      </c>
      <c r="F79" s="10"/>
      <c r="G79" s="10"/>
      <c r="H79" s="10"/>
      <c r="I79" s="10"/>
      <c r="J79" s="10" t="s">
        <v>15</v>
      </c>
      <c r="K79" s="8" t="s">
        <v>22</v>
      </c>
      <c r="L79" s="11">
        <v>45107</v>
      </c>
      <c r="M79" s="8" t="s">
        <v>18</v>
      </c>
      <c r="N79" s="18">
        <v>43</v>
      </c>
      <c r="O79" s="12">
        <v>490340</v>
      </c>
    </row>
    <row r="80" spans="1:16" x14ac:dyDescent="0.25">
      <c r="A80" s="8" t="s">
        <v>18</v>
      </c>
      <c r="B80" s="8" t="s">
        <v>19</v>
      </c>
      <c r="C80" s="8" t="s">
        <v>8</v>
      </c>
      <c r="D80" s="10" t="s">
        <v>180</v>
      </c>
      <c r="E80" s="10" t="s">
        <v>398</v>
      </c>
      <c r="F80" s="10"/>
      <c r="G80" s="10"/>
      <c r="H80" s="10"/>
      <c r="I80" s="10"/>
      <c r="J80" s="10" t="s">
        <v>15</v>
      </c>
      <c r="K80" s="8" t="s">
        <v>22</v>
      </c>
      <c r="L80" s="11">
        <v>45107</v>
      </c>
      <c r="M80" s="8" t="s">
        <v>18</v>
      </c>
      <c r="N80" s="18">
        <v>8</v>
      </c>
      <c r="O80" s="12">
        <v>320000</v>
      </c>
    </row>
    <row r="81" spans="1:15" x14ac:dyDescent="0.25">
      <c r="A81" s="8" t="s">
        <v>18</v>
      </c>
      <c r="B81" s="8" t="s">
        <v>19</v>
      </c>
      <c r="C81" s="8" t="s">
        <v>8</v>
      </c>
      <c r="D81" s="10" t="s">
        <v>393</v>
      </c>
      <c r="E81" s="10" t="s">
        <v>397</v>
      </c>
      <c r="F81" s="10"/>
      <c r="G81" s="10"/>
      <c r="H81" s="10"/>
      <c r="I81" s="10"/>
      <c r="J81" s="10" t="s">
        <v>15</v>
      </c>
      <c r="K81" s="8" t="s">
        <v>22</v>
      </c>
      <c r="L81" s="11">
        <v>45107</v>
      </c>
      <c r="M81" s="8" t="s">
        <v>18</v>
      </c>
      <c r="N81" s="18">
        <v>20</v>
      </c>
      <c r="O81" s="12">
        <v>259281</v>
      </c>
    </row>
    <row r="82" spans="1:15" x14ac:dyDescent="0.25">
      <c r="A82" s="8" t="s">
        <v>12</v>
      </c>
      <c r="B82" s="8" t="s">
        <v>19</v>
      </c>
      <c r="C82" s="8" t="s">
        <v>8</v>
      </c>
      <c r="D82" s="10" t="s">
        <v>212</v>
      </c>
      <c r="E82" s="10" t="s">
        <v>399</v>
      </c>
      <c r="F82" s="10"/>
      <c r="G82" s="10"/>
      <c r="H82" s="10"/>
      <c r="I82" s="10"/>
      <c r="J82" s="10" t="s">
        <v>15</v>
      </c>
      <c r="K82" s="8" t="s">
        <v>22</v>
      </c>
      <c r="L82" s="11">
        <v>44742</v>
      </c>
      <c r="M82" s="8" t="s">
        <v>12</v>
      </c>
      <c r="N82" s="18">
        <v>7</v>
      </c>
      <c r="O82" s="12">
        <v>182692.57</v>
      </c>
    </row>
    <row r="83" spans="1:15" x14ac:dyDescent="0.25">
      <c r="A83" s="8" t="s">
        <v>12</v>
      </c>
      <c r="B83" s="8" t="s">
        <v>19</v>
      </c>
      <c r="C83" s="8" t="s">
        <v>8</v>
      </c>
      <c r="D83" s="10" t="s">
        <v>180</v>
      </c>
      <c r="E83" s="10" t="s">
        <v>397</v>
      </c>
      <c r="F83" s="10"/>
      <c r="G83" s="10"/>
      <c r="H83" s="10"/>
      <c r="I83" s="10"/>
      <c r="J83" s="10" t="s">
        <v>15</v>
      </c>
      <c r="K83" s="8" t="s">
        <v>22</v>
      </c>
      <c r="L83" s="11">
        <v>44742</v>
      </c>
      <c r="M83" s="8" t="s">
        <v>12</v>
      </c>
      <c r="N83" s="18">
        <v>51</v>
      </c>
      <c r="O83" s="12">
        <v>658514</v>
      </c>
    </row>
    <row r="84" spans="1:15" x14ac:dyDescent="0.25">
      <c r="A84" s="8" t="s">
        <v>12</v>
      </c>
      <c r="B84" s="8" t="s">
        <v>19</v>
      </c>
      <c r="C84" s="8" t="s">
        <v>8</v>
      </c>
      <c r="D84" s="10" t="s">
        <v>180</v>
      </c>
      <c r="E84" s="10" t="s">
        <v>181</v>
      </c>
      <c r="F84" s="10"/>
      <c r="G84" s="10"/>
      <c r="H84" s="10"/>
      <c r="I84" s="10"/>
      <c r="J84" s="10" t="s">
        <v>15</v>
      </c>
      <c r="K84" s="8" t="s">
        <v>22</v>
      </c>
      <c r="L84" s="11">
        <v>44742</v>
      </c>
      <c r="M84" s="8" t="s">
        <v>12</v>
      </c>
      <c r="N84" s="18">
        <v>5</v>
      </c>
      <c r="O84" s="12">
        <v>164000</v>
      </c>
    </row>
    <row r="85" spans="1:15" x14ac:dyDescent="0.25">
      <c r="A85" s="8" t="s">
        <v>12</v>
      </c>
      <c r="B85" s="8" t="s">
        <v>19</v>
      </c>
      <c r="C85" s="8" t="s">
        <v>8</v>
      </c>
      <c r="D85" s="10" t="s">
        <v>400</v>
      </c>
      <c r="E85" s="10" t="s">
        <v>397</v>
      </c>
      <c r="F85" s="10"/>
      <c r="G85" s="10"/>
      <c r="H85" s="10"/>
      <c r="I85" s="10"/>
      <c r="J85" s="10" t="s">
        <v>15</v>
      </c>
      <c r="K85" s="8" t="s">
        <v>22</v>
      </c>
      <c r="L85" s="11">
        <v>44742</v>
      </c>
      <c r="M85" s="8" t="s">
        <v>12</v>
      </c>
      <c r="N85" s="18">
        <v>23</v>
      </c>
      <c r="O85" s="12">
        <v>355206.7</v>
      </c>
    </row>
    <row r="86" spans="1:15" x14ac:dyDescent="0.25">
      <c r="A86" s="8" t="s">
        <v>6</v>
      </c>
      <c r="B86" s="8" t="s">
        <v>19</v>
      </c>
      <c r="C86" s="8" t="s">
        <v>8</v>
      </c>
      <c r="D86" s="10" t="s">
        <v>212</v>
      </c>
      <c r="E86" s="10" t="s">
        <v>401</v>
      </c>
      <c r="F86" s="10"/>
      <c r="G86" s="10"/>
      <c r="H86" s="10"/>
      <c r="I86" s="10"/>
      <c r="J86" s="10" t="s">
        <v>15</v>
      </c>
      <c r="K86" s="8" t="s">
        <v>22</v>
      </c>
      <c r="L86" s="11">
        <v>44377</v>
      </c>
      <c r="M86" s="8" t="s">
        <v>6</v>
      </c>
      <c r="N86" s="18">
        <v>8</v>
      </c>
      <c r="O86" s="12">
        <v>224623.95</v>
      </c>
    </row>
    <row r="87" spans="1:15" x14ac:dyDescent="0.25">
      <c r="A87" s="8" t="s">
        <v>6</v>
      </c>
      <c r="B87" s="8" t="s">
        <v>19</v>
      </c>
      <c r="C87" s="8" t="s">
        <v>8</v>
      </c>
      <c r="D87" s="10" t="s">
        <v>180</v>
      </c>
      <c r="E87" s="10" t="s">
        <v>397</v>
      </c>
      <c r="F87" s="10"/>
      <c r="G87" s="10"/>
      <c r="H87" s="10"/>
      <c r="I87" s="10"/>
      <c r="J87" s="10" t="s">
        <v>15</v>
      </c>
      <c r="K87" s="8" t="s">
        <v>22</v>
      </c>
      <c r="L87" s="11">
        <v>44742</v>
      </c>
      <c r="M87" s="8" t="s">
        <v>12</v>
      </c>
      <c r="N87" s="18">
        <v>10</v>
      </c>
      <c r="O87" s="12">
        <v>421148</v>
      </c>
    </row>
    <row r="88" spans="1:15" x14ac:dyDescent="0.25">
      <c r="A88" s="8" t="s">
        <v>6</v>
      </c>
      <c r="B88" s="8" t="s">
        <v>19</v>
      </c>
      <c r="C88" s="8" t="s">
        <v>8</v>
      </c>
      <c r="D88" s="10" t="s">
        <v>180</v>
      </c>
      <c r="E88" s="10" t="s">
        <v>391</v>
      </c>
      <c r="F88" s="10"/>
      <c r="G88" s="10"/>
      <c r="H88" s="10"/>
      <c r="I88" s="10"/>
      <c r="J88" s="10" t="s">
        <v>15</v>
      </c>
      <c r="K88" s="8" t="s">
        <v>22</v>
      </c>
      <c r="L88" s="11">
        <v>44377</v>
      </c>
      <c r="M88" s="8" t="s">
        <v>6</v>
      </c>
      <c r="N88" s="18">
        <v>51</v>
      </c>
      <c r="O88" s="12">
        <v>558031.93999999994</v>
      </c>
    </row>
    <row r="89" spans="1:15" x14ac:dyDescent="0.25">
      <c r="A89" s="8" t="s">
        <v>6</v>
      </c>
      <c r="B89" s="8" t="s">
        <v>19</v>
      </c>
      <c r="C89" s="8" t="s">
        <v>8</v>
      </c>
      <c r="D89" s="10" t="s">
        <v>180</v>
      </c>
      <c r="E89" s="10" t="s">
        <v>402</v>
      </c>
      <c r="F89" s="48" t="s">
        <v>444</v>
      </c>
      <c r="G89" s="10"/>
      <c r="H89" s="10"/>
      <c r="I89" s="10"/>
      <c r="J89" s="10" t="s">
        <v>9</v>
      </c>
      <c r="K89" s="8" t="s">
        <v>22</v>
      </c>
      <c r="L89" s="11">
        <v>45106</v>
      </c>
      <c r="M89" s="8" t="s">
        <v>18</v>
      </c>
      <c r="N89" s="18">
        <v>3</v>
      </c>
      <c r="O89" s="12">
        <v>197000</v>
      </c>
    </row>
    <row r="90" spans="1:15" x14ac:dyDescent="0.25">
      <c r="A90" s="8" t="s">
        <v>6</v>
      </c>
      <c r="B90" s="8" t="s">
        <v>19</v>
      </c>
      <c r="C90" s="8" t="s">
        <v>8</v>
      </c>
      <c r="D90" s="10" t="s">
        <v>125</v>
      </c>
      <c r="E90" s="10" t="s">
        <v>403</v>
      </c>
      <c r="F90" s="45" t="s">
        <v>445</v>
      </c>
      <c r="G90" s="10"/>
      <c r="H90" s="10"/>
      <c r="I90" s="10"/>
      <c r="J90" s="10" t="s">
        <v>21</v>
      </c>
      <c r="K90" s="8" t="s">
        <v>22</v>
      </c>
      <c r="L90" s="11">
        <v>44358</v>
      </c>
      <c r="M90" s="8" t="s">
        <v>6</v>
      </c>
      <c r="N90" s="18">
        <v>103</v>
      </c>
      <c r="O90" s="12">
        <v>282000</v>
      </c>
    </row>
    <row r="91" spans="1:15" x14ac:dyDescent="0.25">
      <c r="A91" s="8" t="s">
        <v>6</v>
      </c>
      <c r="B91" s="8" t="s">
        <v>19</v>
      </c>
      <c r="C91" s="8" t="s">
        <v>8</v>
      </c>
      <c r="D91" s="10" t="s">
        <v>180</v>
      </c>
      <c r="E91" s="10" t="s">
        <v>404</v>
      </c>
      <c r="F91" s="10" t="s">
        <v>446</v>
      </c>
      <c r="G91" s="10"/>
      <c r="H91" s="10"/>
      <c r="I91" s="10"/>
      <c r="J91" s="10" t="s">
        <v>9</v>
      </c>
      <c r="K91" s="8" t="s">
        <v>22</v>
      </c>
      <c r="L91" s="11">
        <v>44501</v>
      </c>
      <c r="M91" s="8" t="s">
        <v>12</v>
      </c>
      <c r="N91" s="18">
        <v>1</v>
      </c>
      <c r="O91" s="12">
        <v>60000</v>
      </c>
    </row>
    <row r="92" spans="1:15" x14ac:dyDescent="0.25">
      <c r="A92" s="8" t="s">
        <v>6</v>
      </c>
      <c r="B92" s="8" t="s">
        <v>19</v>
      </c>
      <c r="C92" s="8" t="s">
        <v>8</v>
      </c>
      <c r="D92" s="10" t="s">
        <v>180</v>
      </c>
      <c r="E92" s="10" t="s">
        <v>405</v>
      </c>
      <c r="F92" s="10" t="s">
        <v>448</v>
      </c>
      <c r="G92" s="10"/>
      <c r="H92" s="10"/>
      <c r="I92" s="10"/>
      <c r="J92" s="10" t="s">
        <v>9</v>
      </c>
      <c r="K92" s="8" t="s">
        <v>22</v>
      </c>
      <c r="L92" s="11">
        <v>44680</v>
      </c>
      <c r="M92" s="8" t="s">
        <v>12</v>
      </c>
      <c r="N92" s="18">
        <v>1</v>
      </c>
      <c r="O92" s="12">
        <v>60000</v>
      </c>
    </row>
    <row r="93" spans="1:15" x14ac:dyDescent="0.25">
      <c r="A93" s="8" t="s">
        <v>6</v>
      </c>
      <c r="B93" s="8" t="s">
        <v>19</v>
      </c>
      <c r="C93" s="8" t="s">
        <v>8</v>
      </c>
      <c r="D93" s="10" t="s">
        <v>180</v>
      </c>
      <c r="E93" s="10" t="s">
        <v>406</v>
      </c>
      <c r="F93" s="10" t="s">
        <v>449</v>
      </c>
      <c r="G93" s="10"/>
      <c r="H93" s="10"/>
      <c r="I93" s="10"/>
      <c r="J93" s="10" t="s">
        <v>9</v>
      </c>
      <c r="K93" s="8" t="s">
        <v>22</v>
      </c>
      <c r="L93" s="11">
        <v>44659</v>
      </c>
      <c r="M93" s="8" t="s">
        <v>12</v>
      </c>
      <c r="N93" s="18">
        <v>1</v>
      </c>
      <c r="O93" s="12">
        <v>60000</v>
      </c>
    </row>
    <row r="94" spans="1:15" x14ac:dyDescent="0.25">
      <c r="A94" s="8" t="s">
        <v>6</v>
      </c>
      <c r="B94" s="8" t="s">
        <v>19</v>
      </c>
      <c r="C94" s="8" t="s">
        <v>8</v>
      </c>
      <c r="D94" s="10" t="s">
        <v>180</v>
      </c>
      <c r="E94" s="10" t="s">
        <v>407</v>
      </c>
      <c r="F94" s="10" t="s">
        <v>447</v>
      </c>
      <c r="G94" s="10"/>
      <c r="H94" s="10"/>
      <c r="I94" s="10"/>
      <c r="J94" s="10" t="s">
        <v>9</v>
      </c>
      <c r="K94" s="8" t="s">
        <v>22</v>
      </c>
      <c r="L94" s="11">
        <v>44550</v>
      </c>
      <c r="M94" s="8" t="s">
        <v>12</v>
      </c>
      <c r="N94" s="18">
        <v>1</v>
      </c>
      <c r="O94" s="12">
        <v>60000</v>
      </c>
    </row>
    <row r="95" spans="1:15" x14ac:dyDescent="0.25">
      <c r="A95" s="8" t="s">
        <v>12</v>
      </c>
      <c r="B95" s="8" t="s">
        <v>39</v>
      </c>
      <c r="C95" s="8" t="s">
        <v>14</v>
      </c>
      <c r="D95" s="8" t="s">
        <v>221</v>
      </c>
      <c r="E95" s="40" t="str">
        <f>'[1]ARPA and EAHP Leverage'!$B$3 &amp; " 1"</f>
        <v>Permanently Affordable Homes 1</v>
      </c>
      <c r="F95" s="17" t="s">
        <v>236</v>
      </c>
      <c r="H95" s="9">
        <v>7</v>
      </c>
      <c r="I95" s="9" t="s">
        <v>237</v>
      </c>
      <c r="J95" s="10" t="s">
        <v>9</v>
      </c>
      <c r="K95" s="8" t="s">
        <v>22</v>
      </c>
      <c r="L95" s="11">
        <v>45838</v>
      </c>
      <c r="M95" s="9" t="s">
        <v>29</v>
      </c>
      <c r="N95" s="8">
        <v>1</v>
      </c>
      <c r="O95" s="12">
        <f t="shared" ref="O95:O109" si="5">500000/15</f>
        <v>33333.333333333336</v>
      </c>
    </row>
    <row r="96" spans="1:15" x14ac:dyDescent="0.25">
      <c r="A96" s="8" t="s">
        <v>12</v>
      </c>
      <c r="B96" s="8" t="s">
        <v>39</v>
      </c>
      <c r="C96" s="8" t="s">
        <v>14</v>
      </c>
      <c r="D96" s="8" t="s">
        <v>221</v>
      </c>
      <c r="E96" s="40" t="str">
        <f>'[1]ARPA and EAHP Leverage'!$B$3 &amp; " 2"</f>
        <v>Permanently Affordable Homes 2</v>
      </c>
      <c r="F96" s="17" t="s">
        <v>276</v>
      </c>
      <c r="H96" s="9">
        <v>7</v>
      </c>
      <c r="I96" s="9"/>
      <c r="J96" s="10" t="s">
        <v>9</v>
      </c>
      <c r="K96" s="8" t="s">
        <v>16</v>
      </c>
      <c r="L96" s="11">
        <v>46203</v>
      </c>
      <c r="M96" s="9" t="s">
        <v>34</v>
      </c>
      <c r="N96" s="8">
        <v>1</v>
      </c>
      <c r="O96" s="12">
        <f t="shared" si="5"/>
        <v>33333.333333333336</v>
      </c>
    </row>
    <row r="97" spans="1:15" x14ac:dyDescent="0.25">
      <c r="A97" s="8" t="s">
        <v>12</v>
      </c>
      <c r="B97" s="8" t="s">
        <v>39</v>
      </c>
      <c r="C97" s="8" t="s">
        <v>14</v>
      </c>
      <c r="D97" s="8" t="s">
        <v>221</v>
      </c>
      <c r="E97" s="40" t="str">
        <f>'[1]ARPA and EAHP Leverage'!$B$3 &amp; " 3"</f>
        <v>Permanently Affordable Homes 3</v>
      </c>
      <c r="F97" s="17" t="s">
        <v>277</v>
      </c>
      <c r="H97" s="9">
        <v>6</v>
      </c>
      <c r="I97" s="9"/>
      <c r="J97" s="10" t="s">
        <v>9</v>
      </c>
      <c r="K97" s="8" t="s">
        <v>16</v>
      </c>
      <c r="L97" s="11">
        <v>46203</v>
      </c>
      <c r="M97" s="9" t="s">
        <v>34</v>
      </c>
      <c r="N97" s="8">
        <v>1</v>
      </c>
      <c r="O97" s="12">
        <f t="shared" si="5"/>
        <v>33333.333333333336</v>
      </c>
    </row>
    <row r="98" spans="1:15" x14ac:dyDescent="0.25">
      <c r="A98" s="8" t="s">
        <v>12</v>
      </c>
      <c r="B98" s="8" t="s">
        <v>39</v>
      </c>
      <c r="C98" s="8" t="s">
        <v>14</v>
      </c>
      <c r="D98" s="8" t="s">
        <v>221</v>
      </c>
      <c r="E98" s="40" t="str">
        <f>'[1]ARPA and EAHP Leverage'!$B$3 &amp; " 4"</f>
        <v>Permanently Affordable Homes 4</v>
      </c>
      <c r="F98" s="17" t="s">
        <v>278</v>
      </c>
      <c r="H98" s="9">
        <v>6</v>
      </c>
      <c r="I98" s="9"/>
      <c r="J98" s="10" t="s">
        <v>9</v>
      </c>
      <c r="K98" s="8" t="s">
        <v>16</v>
      </c>
      <c r="L98" s="11">
        <v>46203</v>
      </c>
      <c r="M98" s="9" t="s">
        <v>34</v>
      </c>
      <c r="N98" s="8">
        <v>1</v>
      </c>
      <c r="O98" s="12">
        <f t="shared" si="5"/>
        <v>33333.333333333336</v>
      </c>
    </row>
    <row r="99" spans="1:15" x14ac:dyDescent="0.25">
      <c r="A99" s="8" t="s">
        <v>12</v>
      </c>
      <c r="B99" s="8" t="s">
        <v>39</v>
      </c>
      <c r="C99" s="8" t="s">
        <v>14</v>
      </c>
      <c r="D99" s="8" t="s">
        <v>221</v>
      </c>
      <c r="E99" s="40" t="str">
        <f>'[1]ARPA and EAHP Leverage'!$B$3 &amp; " 5"</f>
        <v>Permanently Affordable Homes 5</v>
      </c>
      <c r="F99" s="17" t="s">
        <v>279</v>
      </c>
      <c r="H99" s="9">
        <v>6</v>
      </c>
      <c r="I99" s="9"/>
      <c r="J99" s="10" t="s">
        <v>9</v>
      </c>
      <c r="K99" s="8" t="s">
        <v>16</v>
      </c>
      <c r="L99" s="11">
        <v>46203</v>
      </c>
      <c r="M99" s="9" t="s">
        <v>34</v>
      </c>
      <c r="N99" s="8">
        <v>1</v>
      </c>
      <c r="O99" s="12">
        <f t="shared" si="5"/>
        <v>33333.333333333336</v>
      </c>
    </row>
    <row r="100" spans="1:15" x14ac:dyDescent="0.25">
      <c r="A100" s="8" t="s">
        <v>12</v>
      </c>
      <c r="B100" s="8" t="s">
        <v>39</v>
      </c>
      <c r="C100" s="8" t="s">
        <v>14</v>
      </c>
      <c r="D100" s="8" t="s">
        <v>221</v>
      </c>
      <c r="E100" s="40" t="str">
        <f>'[1]ARPA and EAHP Leverage'!$B$3 &amp; " 6"</f>
        <v>Permanently Affordable Homes 6</v>
      </c>
      <c r="F100" s="17" t="s">
        <v>280</v>
      </c>
      <c r="H100" s="9">
        <v>6</v>
      </c>
      <c r="I100" s="9" t="s">
        <v>281</v>
      </c>
      <c r="J100" s="10" t="s">
        <v>9</v>
      </c>
      <c r="K100" s="8" t="s">
        <v>22</v>
      </c>
      <c r="L100" s="11">
        <v>45809</v>
      </c>
      <c r="M100" s="9" t="s">
        <v>29</v>
      </c>
      <c r="N100" s="8">
        <v>1</v>
      </c>
      <c r="O100" s="12">
        <f t="shared" si="5"/>
        <v>33333.333333333336</v>
      </c>
    </row>
    <row r="101" spans="1:15" x14ac:dyDescent="0.25">
      <c r="A101" s="8" t="s">
        <v>12</v>
      </c>
      <c r="B101" s="8" t="s">
        <v>39</v>
      </c>
      <c r="C101" s="8" t="s">
        <v>14</v>
      </c>
      <c r="D101" s="8" t="s">
        <v>221</v>
      </c>
      <c r="E101" s="40" t="str">
        <f>'[1]ARPA and EAHP Leverage'!$B$3 &amp; " 7"</f>
        <v>Permanently Affordable Homes 7</v>
      </c>
      <c r="F101" s="17" t="s">
        <v>282</v>
      </c>
      <c r="H101" s="9">
        <v>6</v>
      </c>
      <c r="I101" s="20" t="s">
        <v>283</v>
      </c>
      <c r="J101" s="10" t="s">
        <v>9</v>
      </c>
      <c r="K101" s="8" t="s">
        <v>22</v>
      </c>
      <c r="L101" s="11">
        <v>45809</v>
      </c>
      <c r="M101" s="9" t="s">
        <v>29</v>
      </c>
      <c r="N101" s="8">
        <v>1</v>
      </c>
      <c r="O101" s="12">
        <f t="shared" si="5"/>
        <v>33333.333333333336</v>
      </c>
    </row>
    <row r="102" spans="1:15" x14ac:dyDescent="0.25">
      <c r="A102" s="8" t="s">
        <v>12</v>
      </c>
      <c r="B102" s="8" t="s">
        <v>39</v>
      </c>
      <c r="C102" s="8" t="s">
        <v>14</v>
      </c>
      <c r="D102" s="8" t="s">
        <v>221</v>
      </c>
      <c r="E102" s="40" t="str">
        <f>'[1]ARPA and EAHP Leverage'!$B$3 &amp; " 8"</f>
        <v>Permanently Affordable Homes 8</v>
      </c>
      <c r="F102" s="17" t="s">
        <v>284</v>
      </c>
      <c r="H102" s="9">
        <v>6</v>
      </c>
      <c r="I102" s="20" t="s">
        <v>285</v>
      </c>
      <c r="J102" s="10" t="s">
        <v>9</v>
      </c>
      <c r="K102" s="8" t="s">
        <v>22</v>
      </c>
      <c r="L102" s="11">
        <v>45809</v>
      </c>
      <c r="M102" s="9" t="s">
        <v>29</v>
      </c>
      <c r="N102" s="8">
        <v>1</v>
      </c>
      <c r="O102" s="12">
        <f t="shared" si="5"/>
        <v>33333.333333333336</v>
      </c>
    </row>
    <row r="103" spans="1:15" x14ac:dyDescent="0.25">
      <c r="A103" s="8" t="s">
        <v>12</v>
      </c>
      <c r="B103" s="8" t="s">
        <v>39</v>
      </c>
      <c r="C103" s="8" t="s">
        <v>14</v>
      </c>
      <c r="D103" s="8" t="s">
        <v>221</v>
      </c>
      <c r="E103" s="40" t="str">
        <f>'[1]ARPA and EAHP Leverage'!$B$3 &amp; " 9"</f>
        <v>Permanently Affordable Homes 9</v>
      </c>
      <c r="F103" s="17" t="s">
        <v>286</v>
      </c>
      <c r="H103" s="9">
        <v>7</v>
      </c>
      <c r="I103" s="9" t="s">
        <v>287</v>
      </c>
      <c r="J103" s="10" t="s">
        <v>9</v>
      </c>
      <c r="K103" s="8" t="s">
        <v>22</v>
      </c>
      <c r="L103" s="11">
        <v>45809</v>
      </c>
      <c r="M103" s="9" t="s">
        <v>29</v>
      </c>
      <c r="N103" s="8">
        <v>1</v>
      </c>
      <c r="O103" s="12">
        <f t="shared" si="5"/>
        <v>33333.333333333336</v>
      </c>
    </row>
    <row r="104" spans="1:15" x14ac:dyDescent="0.25">
      <c r="A104" s="8" t="s">
        <v>12</v>
      </c>
      <c r="B104" s="8" t="s">
        <v>39</v>
      </c>
      <c r="C104" s="8" t="s">
        <v>14</v>
      </c>
      <c r="D104" s="8" t="s">
        <v>221</v>
      </c>
      <c r="E104" s="40" t="str">
        <f>'[1]ARPA and EAHP Leverage'!$B$3 &amp; " 10"</f>
        <v>Permanently Affordable Homes 10</v>
      </c>
      <c r="F104" s="17" t="s">
        <v>288</v>
      </c>
      <c r="H104" s="9">
        <v>7</v>
      </c>
      <c r="I104" s="9" t="s">
        <v>289</v>
      </c>
      <c r="J104" s="10" t="s">
        <v>9</v>
      </c>
      <c r="K104" s="8" t="s">
        <v>22</v>
      </c>
      <c r="L104" s="11">
        <v>45809</v>
      </c>
      <c r="M104" s="9" t="s">
        <v>29</v>
      </c>
      <c r="N104" s="8">
        <v>1</v>
      </c>
      <c r="O104" s="12">
        <f t="shared" si="5"/>
        <v>33333.333333333336</v>
      </c>
    </row>
    <row r="105" spans="1:15" x14ac:dyDescent="0.25">
      <c r="A105" s="8" t="s">
        <v>12</v>
      </c>
      <c r="B105" s="8" t="s">
        <v>39</v>
      </c>
      <c r="C105" s="8" t="s">
        <v>14</v>
      </c>
      <c r="D105" s="8" t="s">
        <v>221</v>
      </c>
      <c r="E105" s="40" t="str">
        <f>'[1]ARPA and EAHP Leverage'!$B$3 &amp; " 11"</f>
        <v>Permanently Affordable Homes 11</v>
      </c>
      <c r="F105" s="17" t="s">
        <v>290</v>
      </c>
      <c r="H105" s="9">
        <v>7</v>
      </c>
      <c r="I105" s="9" t="s">
        <v>291</v>
      </c>
      <c r="J105" s="10" t="s">
        <v>9</v>
      </c>
      <c r="K105" s="8" t="s">
        <v>22</v>
      </c>
      <c r="L105" s="11">
        <v>45809</v>
      </c>
      <c r="M105" s="9" t="s">
        <v>29</v>
      </c>
      <c r="N105" s="8">
        <v>1</v>
      </c>
      <c r="O105" s="12">
        <f t="shared" si="5"/>
        <v>33333.333333333336</v>
      </c>
    </row>
    <row r="106" spans="1:15" x14ac:dyDescent="0.25">
      <c r="A106" s="8" t="s">
        <v>12</v>
      </c>
      <c r="B106" s="8" t="s">
        <v>39</v>
      </c>
      <c r="C106" s="8" t="s">
        <v>14</v>
      </c>
      <c r="D106" s="8" t="s">
        <v>221</v>
      </c>
      <c r="E106" s="40" t="str">
        <f>'[1]ARPA and EAHP Leverage'!$B$3 &amp; " 12"</f>
        <v>Permanently Affordable Homes 12</v>
      </c>
      <c r="F106" s="17" t="s">
        <v>292</v>
      </c>
      <c r="H106" s="9">
        <v>7</v>
      </c>
      <c r="I106" s="9" t="s">
        <v>293</v>
      </c>
      <c r="J106" s="10" t="s">
        <v>9</v>
      </c>
      <c r="K106" s="8" t="s">
        <v>22</v>
      </c>
      <c r="L106" s="11">
        <v>45809</v>
      </c>
      <c r="M106" s="9" t="s">
        <v>29</v>
      </c>
      <c r="N106" s="8">
        <v>1</v>
      </c>
      <c r="O106" s="12">
        <f t="shared" si="5"/>
        <v>33333.333333333336</v>
      </c>
    </row>
    <row r="107" spans="1:15" x14ac:dyDescent="0.25">
      <c r="A107" s="8" t="s">
        <v>12</v>
      </c>
      <c r="B107" s="8" t="s">
        <v>39</v>
      </c>
      <c r="C107" s="8" t="s">
        <v>14</v>
      </c>
      <c r="D107" s="8" t="s">
        <v>221</v>
      </c>
      <c r="E107" s="40" t="str">
        <f>'[1]ARPA and EAHP Leverage'!$B$3 &amp; " 13"</f>
        <v>Permanently Affordable Homes 13</v>
      </c>
      <c r="F107" s="17" t="s">
        <v>294</v>
      </c>
      <c r="H107" s="9">
        <v>7</v>
      </c>
      <c r="I107" s="9" t="s">
        <v>295</v>
      </c>
      <c r="J107" s="10" t="s">
        <v>9</v>
      </c>
      <c r="K107" s="8" t="s">
        <v>22</v>
      </c>
      <c r="L107" s="11">
        <v>45809</v>
      </c>
      <c r="M107" s="9" t="s">
        <v>29</v>
      </c>
      <c r="N107" s="8">
        <v>1</v>
      </c>
      <c r="O107" s="12">
        <f t="shared" si="5"/>
        <v>33333.333333333336</v>
      </c>
    </row>
    <row r="108" spans="1:15" x14ac:dyDescent="0.25">
      <c r="A108" s="8" t="s">
        <v>12</v>
      </c>
      <c r="B108" s="8" t="s">
        <v>39</v>
      </c>
      <c r="C108" s="8" t="s">
        <v>14</v>
      </c>
      <c r="D108" s="8" t="s">
        <v>221</v>
      </c>
      <c r="E108" s="40" t="str">
        <f>'[1]ARPA and EAHP Leverage'!$B$3 &amp; " 14"</f>
        <v>Permanently Affordable Homes 14</v>
      </c>
      <c r="F108" s="17" t="s">
        <v>296</v>
      </c>
      <c r="H108" s="9">
        <v>7</v>
      </c>
      <c r="I108" s="9" t="s">
        <v>297</v>
      </c>
      <c r="J108" s="10" t="s">
        <v>9</v>
      </c>
      <c r="K108" s="8" t="s">
        <v>22</v>
      </c>
      <c r="L108" s="11">
        <v>45809</v>
      </c>
      <c r="M108" s="9" t="s">
        <v>29</v>
      </c>
      <c r="N108" s="8">
        <v>1</v>
      </c>
      <c r="O108" s="12">
        <f t="shared" si="5"/>
        <v>33333.333333333336</v>
      </c>
    </row>
    <row r="109" spans="1:15" x14ac:dyDescent="0.25">
      <c r="A109" s="8" t="s">
        <v>12</v>
      </c>
      <c r="B109" s="8" t="s">
        <v>39</v>
      </c>
      <c r="C109" s="8" t="s">
        <v>14</v>
      </c>
      <c r="D109" s="8" t="s">
        <v>221</v>
      </c>
      <c r="E109" s="40" t="str">
        <f>'[1]ARPA and EAHP Leverage'!$B$3 &amp; " 15"</f>
        <v>Permanently Affordable Homes 15</v>
      </c>
      <c r="F109" s="17" t="s">
        <v>298</v>
      </c>
      <c r="H109" s="9">
        <v>7</v>
      </c>
      <c r="I109" s="9" t="s">
        <v>299</v>
      </c>
      <c r="J109" s="10" t="s">
        <v>9</v>
      </c>
      <c r="K109" s="8" t="s">
        <v>22</v>
      </c>
      <c r="L109" s="11">
        <v>45809</v>
      </c>
      <c r="M109" s="9" t="s">
        <v>29</v>
      </c>
      <c r="N109" s="8">
        <v>1</v>
      </c>
      <c r="O109" s="12">
        <f t="shared" si="5"/>
        <v>33333.333333333336</v>
      </c>
    </row>
    <row r="110" spans="1:15" ht="13.5" customHeight="1" x14ac:dyDescent="0.25">
      <c r="A110" s="8" t="s">
        <v>12</v>
      </c>
      <c r="B110" s="8" t="s">
        <v>39</v>
      </c>
      <c r="C110" s="8" t="s">
        <v>14</v>
      </c>
      <c r="D110" s="9" t="s">
        <v>198</v>
      </c>
      <c r="E110" s="9" t="s">
        <v>207</v>
      </c>
      <c r="F110" s="17" t="s">
        <v>433</v>
      </c>
      <c r="G110" s="9" t="s">
        <v>183</v>
      </c>
      <c r="H110" s="9">
        <v>8</v>
      </c>
      <c r="I110" s="17" t="s">
        <v>410</v>
      </c>
      <c r="J110" s="10" t="s">
        <v>21</v>
      </c>
      <c r="K110" s="8" t="s">
        <v>22</v>
      </c>
      <c r="L110" s="14">
        <v>45545</v>
      </c>
      <c r="M110" s="9" t="s">
        <v>29</v>
      </c>
      <c r="N110" s="8">
        <v>112</v>
      </c>
      <c r="O110" s="12">
        <v>1000000</v>
      </c>
    </row>
    <row r="111" spans="1:15" x14ac:dyDescent="0.25">
      <c r="A111" s="8" t="s">
        <v>12</v>
      </c>
      <c r="B111" s="8" t="s">
        <v>39</v>
      </c>
      <c r="C111" s="8" t="s">
        <v>14</v>
      </c>
      <c r="D111" s="8" t="s">
        <v>300</v>
      </c>
      <c r="E111" s="8" t="s">
        <v>301</v>
      </c>
      <c r="F111" s="37" t="s">
        <v>432</v>
      </c>
      <c r="H111" s="8">
        <v>9</v>
      </c>
      <c r="I111" s="9" t="s">
        <v>167</v>
      </c>
      <c r="J111" s="10" t="s">
        <v>27</v>
      </c>
      <c r="K111" s="8" t="s">
        <v>22</v>
      </c>
      <c r="L111" s="14">
        <v>45596</v>
      </c>
      <c r="M111" s="9" t="s">
        <v>29</v>
      </c>
      <c r="N111" s="8">
        <v>218</v>
      </c>
      <c r="O111" s="12">
        <v>1744000</v>
      </c>
    </row>
    <row r="112" spans="1:15" ht="45" x14ac:dyDescent="0.25">
      <c r="A112" s="8" t="s">
        <v>12</v>
      </c>
      <c r="B112" s="8" t="s">
        <v>39</v>
      </c>
      <c r="C112" s="8" t="s">
        <v>14</v>
      </c>
      <c r="D112" s="8" t="s">
        <v>176</v>
      </c>
      <c r="E112" s="8" t="s">
        <v>302</v>
      </c>
      <c r="F112" s="37" t="s">
        <v>431</v>
      </c>
      <c r="H112" s="8">
        <v>7</v>
      </c>
      <c r="I112" s="9" t="s">
        <v>411</v>
      </c>
      <c r="J112" s="10" t="s">
        <v>27</v>
      </c>
      <c r="K112" s="8" t="s">
        <v>22</v>
      </c>
      <c r="L112" s="11">
        <v>45838</v>
      </c>
      <c r="M112" s="9" t="s">
        <v>29</v>
      </c>
      <c r="N112" s="8">
        <v>68</v>
      </c>
      <c r="O112" s="12">
        <v>500000</v>
      </c>
    </row>
    <row r="113" spans="1:16" ht="30" x14ac:dyDescent="0.25">
      <c r="A113" s="8" t="s">
        <v>18</v>
      </c>
      <c r="B113" s="8" t="s">
        <v>39</v>
      </c>
      <c r="C113" s="8" t="s">
        <v>14</v>
      </c>
      <c r="D113" s="8" t="s">
        <v>198</v>
      </c>
      <c r="E113" s="8" t="s">
        <v>199</v>
      </c>
      <c r="F113" s="9" t="s">
        <v>412</v>
      </c>
      <c r="G113" s="9" t="s">
        <v>183</v>
      </c>
      <c r="H113" s="8">
        <v>8</v>
      </c>
      <c r="I113" s="9" t="s">
        <v>413</v>
      </c>
      <c r="J113" s="10" t="s">
        <v>21</v>
      </c>
      <c r="K113" s="8" t="s">
        <v>22</v>
      </c>
      <c r="L113" s="11">
        <v>45239</v>
      </c>
      <c r="M113" s="9" t="s">
        <v>29</v>
      </c>
      <c r="N113" s="8">
        <v>62</v>
      </c>
      <c r="O113" s="12">
        <v>600000</v>
      </c>
      <c r="P113" s="8" t="s">
        <v>184</v>
      </c>
    </row>
    <row r="114" spans="1:16" x14ac:dyDescent="0.25">
      <c r="A114" s="8" t="s">
        <v>18</v>
      </c>
      <c r="B114" s="8" t="s">
        <v>39</v>
      </c>
      <c r="C114" s="8" t="s">
        <v>14</v>
      </c>
      <c r="D114" s="8" t="s">
        <v>191</v>
      </c>
      <c r="E114" s="36" t="s">
        <v>192</v>
      </c>
      <c r="F114" s="17" t="s">
        <v>193</v>
      </c>
      <c r="H114" s="9">
        <v>7</v>
      </c>
      <c r="I114" s="37" t="s">
        <v>194</v>
      </c>
      <c r="J114" s="10" t="s">
        <v>21</v>
      </c>
      <c r="K114" s="8" t="s">
        <v>22</v>
      </c>
      <c r="L114" s="11">
        <v>45687</v>
      </c>
      <c r="M114" s="9" t="s">
        <v>29</v>
      </c>
      <c r="N114" s="8">
        <v>1</v>
      </c>
      <c r="O114" s="12">
        <f t="shared" ref="O114:O127" si="6">450000/SUM($N$114:$N$127)</f>
        <v>32142.857142857141</v>
      </c>
      <c r="P114" s="12"/>
    </row>
    <row r="115" spans="1:16" x14ac:dyDescent="0.25">
      <c r="A115" s="8" t="s">
        <v>18</v>
      </c>
      <c r="B115" s="8" t="s">
        <v>39</v>
      </c>
      <c r="C115" s="8" t="s">
        <v>14</v>
      </c>
      <c r="D115" s="8" t="s">
        <v>191</v>
      </c>
      <c r="E115" s="36" t="s">
        <v>303</v>
      </c>
      <c r="F115" s="17" t="s">
        <v>304</v>
      </c>
      <c r="H115" s="9">
        <v>7</v>
      </c>
      <c r="I115" s="37" t="s">
        <v>305</v>
      </c>
      <c r="J115" s="10" t="s">
        <v>21</v>
      </c>
      <c r="K115" s="8" t="s">
        <v>22</v>
      </c>
      <c r="L115" s="11">
        <v>45687</v>
      </c>
      <c r="M115" s="9" t="s">
        <v>29</v>
      </c>
      <c r="N115" s="8">
        <v>1</v>
      </c>
      <c r="O115" s="12">
        <f t="shared" si="6"/>
        <v>32142.857142857141</v>
      </c>
      <c r="P115" s="12"/>
    </row>
    <row r="116" spans="1:16" x14ac:dyDescent="0.25">
      <c r="A116" s="8" t="s">
        <v>18</v>
      </c>
      <c r="B116" s="8" t="s">
        <v>39</v>
      </c>
      <c r="C116" s="8" t="s">
        <v>14</v>
      </c>
      <c r="D116" s="8" t="s">
        <v>191</v>
      </c>
      <c r="E116" s="36" t="s">
        <v>306</v>
      </c>
      <c r="F116" s="17" t="s">
        <v>307</v>
      </c>
      <c r="H116" s="9">
        <v>7</v>
      </c>
      <c r="I116" s="37" t="s">
        <v>308</v>
      </c>
      <c r="J116" s="10" t="s">
        <v>21</v>
      </c>
      <c r="K116" s="8" t="s">
        <v>22</v>
      </c>
      <c r="L116" s="11">
        <v>45687</v>
      </c>
      <c r="M116" s="9" t="s">
        <v>29</v>
      </c>
      <c r="N116" s="8">
        <v>1</v>
      </c>
      <c r="O116" s="12">
        <f t="shared" si="6"/>
        <v>32142.857142857141</v>
      </c>
      <c r="P116" s="12"/>
    </row>
    <row r="117" spans="1:16" x14ac:dyDescent="0.25">
      <c r="A117" s="8" t="s">
        <v>18</v>
      </c>
      <c r="B117" s="8" t="s">
        <v>39</v>
      </c>
      <c r="C117" s="8" t="s">
        <v>14</v>
      </c>
      <c r="D117" s="8" t="s">
        <v>191</v>
      </c>
      <c r="E117" s="36" t="s">
        <v>309</v>
      </c>
      <c r="F117" s="17" t="s">
        <v>310</v>
      </c>
      <c r="H117" s="9">
        <v>7</v>
      </c>
      <c r="I117" s="37" t="s">
        <v>311</v>
      </c>
      <c r="J117" s="10" t="s">
        <v>21</v>
      </c>
      <c r="K117" s="8" t="s">
        <v>22</v>
      </c>
      <c r="L117" s="11">
        <v>45687</v>
      </c>
      <c r="M117" s="9" t="s">
        <v>29</v>
      </c>
      <c r="N117" s="8">
        <v>1</v>
      </c>
      <c r="O117" s="12">
        <f t="shared" si="6"/>
        <v>32142.857142857141</v>
      </c>
      <c r="P117" s="12"/>
    </row>
    <row r="118" spans="1:16" x14ac:dyDescent="0.25">
      <c r="A118" s="8" t="s">
        <v>18</v>
      </c>
      <c r="B118" s="8" t="s">
        <v>39</v>
      </c>
      <c r="C118" s="8" t="s">
        <v>14</v>
      </c>
      <c r="D118" s="8" t="s">
        <v>191</v>
      </c>
      <c r="E118" s="36" t="s">
        <v>312</v>
      </c>
      <c r="F118" s="17" t="s">
        <v>313</v>
      </c>
      <c r="H118" s="9">
        <v>7</v>
      </c>
      <c r="I118" s="37" t="s">
        <v>314</v>
      </c>
      <c r="J118" s="10" t="s">
        <v>21</v>
      </c>
      <c r="K118" s="8" t="s">
        <v>22</v>
      </c>
      <c r="L118" s="11">
        <v>45687</v>
      </c>
      <c r="M118" s="9" t="s">
        <v>29</v>
      </c>
      <c r="N118" s="8">
        <v>1</v>
      </c>
      <c r="O118" s="12">
        <f t="shared" si="6"/>
        <v>32142.857142857141</v>
      </c>
      <c r="P118" s="12"/>
    </row>
    <row r="119" spans="1:16" x14ac:dyDescent="0.25">
      <c r="A119" s="8" t="s">
        <v>18</v>
      </c>
      <c r="B119" s="8" t="s">
        <v>39</v>
      </c>
      <c r="C119" s="8" t="s">
        <v>14</v>
      </c>
      <c r="D119" s="8" t="s">
        <v>191</v>
      </c>
      <c r="E119" s="36" t="s">
        <v>315</v>
      </c>
      <c r="F119" s="17" t="s">
        <v>316</v>
      </c>
      <c r="H119" s="9">
        <v>7</v>
      </c>
      <c r="I119" s="37" t="s">
        <v>317</v>
      </c>
      <c r="J119" s="10" t="s">
        <v>21</v>
      </c>
      <c r="K119" s="8" t="s">
        <v>22</v>
      </c>
      <c r="L119" s="11">
        <v>45687</v>
      </c>
      <c r="M119" s="9" t="s">
        <v>29</v>
      </c>
      <c r="N119" s="8">
        <v>1</v>
      </c>
      <c r="O119" s="12">
        <f t="shared" si="6"/>
        <v>32142.857142857141</v>
      </c>
      <c r="P119" s="12"/>
    </row>
    <row r="120" spans="1:16" x14ac:dyDescent="0.25">
      <c r="A120" s="8" t="s">
        <v>18</v>
      </c>
      <c r="B120" s="8" t="s">
        <v>39</v>
      </c>
      <c r="C120" s="8" t="s">
        <v>14</v>
      </c>
      <c r="D120" s="8" t="s">
        <v>191</v>
      </c>
      <c r="E120" s="36" t="s">
        <v>318</v>
      </c>
      <c r="F120" s="17" t="s">
        <v>319</v>
      </c>
      <c r="H120" s="9">
        <v>7</v>
      </c>
      <c r="I120" s="37" t="s">
        <v>320</v>
      </c>
      <c r="J120" s="10" t="s">
        <v>21</v>
      </c>
      <c r="K120" s="8" t="s">
        <v>22</v>
      </c>
      <c r="L120" s="11">
        <v>45687</v>
      </c>
      <c r="M120" s="9" t="s">
        <v>29</v>
      </c>
      <c r="N120" s="8">
        <v>1</v>
      </c>
      <c r="O120" s="12">
        <f t="shared" si="6"/>
        <v>32142.857142857141</v>
      </c>
      <c r="P120" s="12"/>
    </row>
    <row r="121" spans="1:16" x14ac:dyDescent="0.25">
      <c r="A121" s="8" t="s">
        <v>18</v>
      </c>
      <c r="B121" s="8" t="s">
        <v>39</v>
      </c>
      <c r="C121" s="8" t="s">
        <v>14</v>
      </c>
      <c r="D121" s="8" t="s">
        <v>191</v>
      </c>
      <c r="E121" s="36" t="s">
        <v>321</v>
      </c>
      <c r="F121" s="17" t="s">
        <v>322</v>
      </c>
      <c r="H121" s="9">
        <v>7</v>
      </c>
      <c r="I121" s="37" t="s">
        <v>323</v>
      </c>
      <c r="J121" s="10" t="s">
        <v>21</v>
      </c>
      <c r="K121" s="8" t="s">
        <v>22</v>
      </c>
      <c r="L121" s="11">
        <v>45687</v>
      </c>
      <c r="M121" s="9" t="s">
        <v>29</v>
      </c>
      <c r="N121" s="8">
        <v>1</v>
      </c>
      <c r="O121" s="12">
        <f t="shared" si="6"/>
        <v>32142.857142857141</v>
      </c>
      <c r="P121" s="12"/>
    </row>
    <row r="122" spans="1:16" x14ac:dyDescent="0.25">
      <c r="A122" s="8" t="s">
        <v>18</v>
      </c>
      <c r="B122" s="8" t="s">
        <v>39</v>
      </c>
      <c r="C122" s="8" t="s">
        <v>14</v>
      </c>
      <c r="D122" s="8" t="s">
        <v>191</v>
      </c>
      <c r="E122" s="36" t="s">
        <v>324</v>
      </c>
      <c r="F122" s="17" t="s">
        <v>325</v>
      </c>
      <c r="H122" s="9">
        <v>7</v>
      </c>
      <c r="I122" s="37" t="s">
        <v>326</v>
      </c>
      <c r="J122" s="10" t="s">
        <v>21</v>
      </c>
      <c r="K122" s="8" t="s">
        <v>22</v>
      </c>
      <c r="L122" s="11">
        <v>45687</v>
      </c>
      <c r="M122" s="9" t="s">
        <v>29</v>
      </c>
      <c r="N122" s="8">
        <v>1</v>
      </c>
      <c r="O122" s="12">
        <f t="shared" si="6"/>
        <v>32142.857142857141</v>
      </c>
      <c r="P122" s="12"/>
    </row>
    <row r="123" spans="1:16" x14ac:dyDescent="0.25">
      <c r="A123" s="8" t="s">
        <v>18</v>
      </c>
      <c r="B123" s="8" t="s">
        <v>39</v>
      </c>
      <c r="C123" s="8" t="s">
        <v>14</v>
      </c>
      <c r="D123" s="8" t="s">
        <v>191</v>
      </c>
      <c r="E123" s="36" t="s">
        <v>327</v>
      </c>
      <c r="F123" s="17" t="s">
        <v>328</v>
      </c>
      <c r="H123" s="9">
        <v>7</v>
      </c>
      <c r="I123" s="37" t="s">
        <v>329</v>
      </c>
      <c r="J123" s="10" t="s">
        <v>21</v>
      </c>
      <c r="K123" s="8" t="s">
        <v>22</v>
      </c>
      <c r="L123" s="11">
        <v>45687</v>
      </c>
      <c r="M123" s="9" t="s">
        <v>29</v>
      </c>
      <c r="N123" s="8">
        <v>1</v>
      </c>
      <c r="O123" s="12">
        <f t="shared" si="6"/>
        <v>32142.857142857141</v>
      </c>
      <c r="P123" s="12"/>
    </row>
    <row r="124" spans="1:16" x14ac:dyDescent="0.25">
      <c r="A124" s="8" t="s">
        <v>18</v>
      </c>
      <c r="B124" s="8" t="s">
        <v>39</v>
      </c>
      <c r="C124" s="8" t="s">
        <v>14</v>
      </c>
      <c r="D124" s="8" t="s">
        <v>191</v>
      </c>
      <c r="E124" s="36" t="s">
        <v>330</v>
      </c>
      <c r="F124" s="17" t="s">
        <v>331</v>
      </c>
      <c r="H124" s="9">
        <v>7</v>
      </c>
      <c r="I124" s="37" t="s">
        <v>332</v>
      </c>
      <c r="J124" s="10" t="s">
        <v>21</v>
      </c>
      <c r="K124" s="8" t="s">
        <v>22</v>
      </c>
      <c r="L124" s="11">
        <v>45687</v>
      </c>
      <c r="M124" s="9" t="s">
        <v>29</v>
      </c>
      <c r="N124" s="8">
        <v>1</v>
      </c>
      <c r="O124" s="12">
        <f t="shared" si="6"/>
        <v>32142.857142857141</v>
      </c>
      <c r="P124" s="12"/>
    </row>
    <row r="125" spans="1:16" x14ac:dyDescent="0.25">
      <c r="A125" s="8" t="s">
        <v>18</v>
      </c>
      <c r="B125" s="8" t="s">
        <v>39</v>
      </c>
      <c r="C125" s="8" t="s">
        <v>14</v>
      </c>
      <c r="D125" s="8" t="s">
        <v>191</v>
      </c>
      <c r="E125" s="36" t="s">
        <v>333</v>
      </c>
      <c r="F125" s="17" t="s">
        <v>334</v>
      </c>
      <c r="H125" s="9">
        <v>7</v>
      </c>
      <c r="I125" s="37" t="s">
        <v>335</v>
      </c>
      <c r="J125" s="10" t="s">
        <v>21</v>
      </c>
      <c r="K125" s="8" t="s">
        <v>22</v>
      </c>
      <c r="L125" s="11">
        <v>45687</v>
      </c>
      <c r="M125" s="9" t="s">
        <v>29</v>
      </c>
      <c r="N125" s="8">
        <v>1</v>
      </c>
      <c r="O125" s="12">
        <f t="shared" si="6"/>
        <v>32142.857142857141</v>
      </c>
      <c r="P125" s="12"/>
    </row>
    <row r="126" spans="1:16" x14ac:dyDescent="0.25">
      <c r="A126" s="8" t="s">
        <v>18</v>
      </c>
      <c r="B126" s="8" t="s">
        <v>39</v>
      </c>
      <c r="C126" s="8" t="s">
        <v>14</v>
      </c>
      <c r="D126" s="8" t="s">
        <v>191</v>
      </c>
      <c r="E126" s="36" t="s">
        <v>336</v>
      </c>
      <c r="F126" s="17" t="s">
        <v>337</v>
      </c>
      <c r="H126" s="9">
        <v>7</v>
      </c>
      <c r="I126" s="37" t="s">
        <v>338</v>
      </c>
      <c r="J126" s="10" t="s">
        <v>21</v>
      </c>
      <c r="K126" s="8" t="s">
        <v>22</v>
      </c>
      <c r="L126" s="11">
        <v>45687</v>
      </c>
      <c r="M126" s="9" t="s">
        <v>29</v>
      </c>
      <c r="N126" s="8">
        <v>1</v>
      </c>
      <c r="O126" s="12">
        <f t="shared" si="6"/>
        <v>32142.857142857141</v>
      </c>
      <c r="P126" s="12"/>
    </row>
    <row r="127" spans="1:16" x14ac:dyDescent="0.25">
      <c r="A127" s="8" t="s">
        <v>18</v>
      </c>
      <c r="B127" s="8" t="s">
        <v>39</v>
      </c>
      <c r="C127" s="8" t="s">
        <v>14</v>
      </c>
      <c r="D127" s="8" t="s">
        <v>191</v>
      </c>
      <c r="E127" s="36" t="s">
        <v>339</v>
      </c>
      <c r="F127" s="17" t="s">
        <v>340</v>
      </c>
      <c r="H127" s="9">
        <v>7</v>
      </c>
      <c r="I127" s="37" t="s">
        <v>341</v>
      </c>
      <c r="J127" s="10" t="s">
        <v>21</v>
      </c>
      <c r="K127" s="8" t="s">
        <v>22</v>
      </c>
      <c r="L127" s="11">
        <v>45687</v>
      </c>
      <c r="M127" s="9" t="s">
        <v>29</v>
      </c>
      <c r="N127" s="8">
        <v>1</v>
      </c>
      <c r="O127" s="12">
        <f t="shared" si="6"/>
        <v>32142.857142857141</v>
      </c>
      <c r="P127" s="12"/>
    </row>
    <row r="128" spans="1:16" x14ac:dyDescent="0.25">
      <c r="A128" s="8" t="s">
        <v>12</v>
      </c>
      <c r="B128" s="8" t="s">
        <v>39</v>
      </c>
      <c r="C128" s="8" t="s">
        <v>14</v>
      </c>
      <c r="D128" s="9" t="s">
        <v>342</v>
      </c>
      <c r="E128" s="10" t="s">
        <v>343</v>
      </c>
      <c r="F128" s="19" t="s">
        <v>344</v>
      </c>
      <c r="G128" s="10"/>
      <c r="H128" s="8">
        <v>5</v>
      </c>
      <c r="I128" s="9" t="s">
        <v>155</v>
      </c>
      <c r="J128" s="10" t="s">
        <v>27</v>
      </c>
      <c r="K128" s="8" t="s">
        <v>16</v>
      </c>
      <c r="L128" s="11">
        <v>46326</v>
      </c>
      <c r="M128" s="9" t="s">
        <v>38</v>
      </c>
      <c r="N128" s="18">
        <v>72</v>
      </c>
      <c r="O128" s="12">
        <v>700400</v>
      </c>
      <c r="P128" s="8" t="s">
        <v>11</v>
      </c>
    </row>
    <row r="129" spans="1:18" x14ac:dyDescent="0.25">
      <c r="A129" s="8" t="s">
        <v>12</v>
      </c>
      <c r="B129" s="8" t="s">
        <v>39</v>
      </c>
      <c r="C129" s="8" t="s">
        <v>14</v>
      </c>
      <c r="D129" s="10" t="s">
        <v>342</v>
      </c>
      <c r="E129" s="10" t="s">
        <v>345</v>
      </c>
      <c r="F129" s="19" t="s">
        <v>346</v>
      </c>
      <c r="G129" s="10"/>
      <c r="H129" s="8">
        <v>6</v>
      </c>
      <c r="I129" s="9" t="s">
        <v>146</v>
      </c>
      <c r="J129" s="10" t="s">
        <v>27</v>
      </c>
      <c r="K129" s="8" t="s">
        <v>16</v>
      </c>
      <c r="L129" s="11">
        <v>46295</v>
      </c>
      <c r="M129" s="9" t="s">
        <v>38</v>
      </c>
      <c r="N129" s="18">
        <v>116</v>
      </c>
      <c r="O129" s="12">
        <v>1040000</v>
      </c>
      <c r="P129" s="8" t="s">
        <v>11</v>
      </c>
    </row>
    <row r="130" spans="1:18" ht="30" x14ac:dyDescent="0.25">
      <c r="A130" s="8" t="s">
        <v>12</v>
      </c>
      <c r="B130" s="8" t="s">
        <v>39</v>
      </c>
      <c r="C130" s="8" t="s">
        <v>14</v>
      </c>
      <c r="D130" s="10" t="s">
        <v>125</v>
      </c>
      <c r="E130" s="10" t="s">
        <v>126</v>
      </c>
      <c r="F130" s="19" t="s">
        <v>127</v>
      </c>
      <c r="G130" s="10"/>
      <c r="H130" s="8">
        <v>6</v>
      </c>
      <c r="I130" s="9" t="s">
        <v>347</v>
      </c>
      <c r="J130" s="10" t="s">
        <v>27</v>
      </c>
      <c r="K130" s="8" t="s">
        <v>22</v>
      </c>
      <c r="L130" s="11">
        <v>45248</v>
      </c>
      <c r="M130" s="9" t="s">
        <v>29</v>
      </c>
      <c r="N130" s="18">
        <v>67</v>
      </c>
      <c r="O130" s="12">
        <v>250000</v>
      </c>
    </row>
    <row r="131" spans="1:18" ht="30" x14ac:dyDescent="0.25">
      <c r="A131" s="8" t="s">
        <v>12</v>
      </c>
      <c r="B131" s="8" t="s">
        <v>39</v>
      </c>
      <c r="C131" s="8" t="s">
        <v>14</v>
      </c>
      <c r="D131" s="9" t="s">
        <v>198</v>
      </c>
      <c r="E131" s="10" t="s">
        <v>348</v>
      </c>
      <c r="F131" s="19" t="s">
        <v>415</v>
      </c>
      <c r="G131" s="10"/>
      <c r="H131" s="8">
        <v>8</v>
      </c>
      <c r="I131" s="37" t="s">
        <v>414</v>
      </c>
      <c r="J131" s="10" t="s">
        <v>27</v>
      </c>
      <c r="K131" s="8" t="s">
        <v>16</v>
      </c>
      <c r="L131" s="11">
        <v>46234</v>
      </c>
      <c r="M131" s="9" t="s">
        <v>38</v>
      </c>
      <c r="N131" s="18">
        <v>150</v>
      </c>
      <c r="O131" s="12">
        <v>1000000</v>
      </c>
      <c r="P131" s="8" t="s">
        <v>11</v>
      </c>
    </row>
    <row r="132" spans="1:18" ht="14.25" customHeight="1" x14ac:dyDescent="0.25">
      <c r="A132" s="8" t="s">
        <v>18</v>
      </c>
      <c r="B132" s="8" t="s">
        <v>39</v>
      </c>
      <c r="C132" s="8" t="s">
        <v>14</v>
      </c>
      <c r="D132" s="9" t="s">
        <v>176</v>
      </c>
      <c r="E132" s="9" t="s">
        <v>349</v>
      </c>
      <c r="F132" s="17" t="s">
        <v>178</v>
      </c>
      <c r="G132" s="10"/>
      <c r="H132" s="8">
        <v>7</v>
      </c>
      <c r="I132" s="21" t="s">
        <v>350</v>
      </c>
      <c r="J132" s="10" t="s">
        <v>27</v>
      </c>
      <c r="K132" s="8" t="s">
        <v>22</v>
      </c>
      <c r="L132" s="14">
        <v>46022</v>
      </c>
      <c r="M132" s="9" t="s">
        <v>34</v>
      </c>
      <c r="N132" s="8">
        <v>72</v>
      </c>
      <c r="O132" s="12">
        <v>400000</v>
      </c>
      <c r="P132" s="8" t="s">
        <v>351</v>
      </c>
    </row>
    <row r="133" spans="1:18" x14ac:dyDescent="0.25">
      <c r="A133" s="8" t="s">
        <v>12</v>
      </c>
      <c r="B133" s="8" t="s">
        <v>39</v>
      </c>
      <c r="C133" s="8" t="s">
        <v>14</v>
      </c>
      <c r="D133" s="9" t="s">
        <v>98</v>
      </c>
      <c r="E133" s="9" t="s">
        <v>99</v>
      </c>
      <c r="F133" s="17" t="s">
        <v>100</v>
      </c>
      <c r="G133" s="10"/>
      <c r="H133" s="8">
        <v>8</v>
      </c>
      <c r="I133" s="37" t="s">
        <v>352</v>
      </c>
      <c r="J133" s="10" t="s">
        <v>27</v>
      </c>
      <c r="K133" s="8" t="s">
        <v>22</v>
      </c>
      <c r="L133" s="11">
        <v>46023</v>
      </c>
      <c r="M133" s="9" t="s">
        <v>34</v>
      </c>
      <c r="N133" s="8">
        <v>40</v>
      </c>
      <c r="O133" s="12">
        <v>977360</v>
      </c>
    </row>
    <row r="134" spans="1:18" x14ac:dyDescent="0.25">
      <c r="A134" s="8" t="s">
        <v>12</v>
      </c>
      <c r="B134" s="8" t="s">
        <v>39</v>
      </c>
      <c r="C134" s="8" t="s">
        <v>14</v>
      </c>
      <c r="D134" s="9" t="s">
        <v>125</v>
      </c>
      <c r="E134" s="9" t="s">
        <v>204</v>
      </c>
      <c r="F134" s="17" t="s">
        <v>205</v>
      </c>
      <c r="G134" s="10"/>
      <c r="H134" s="8">
        <v>8</v>
      </c>
      <c r="I134" s="9" t="s">
        <v>353</v>
      </c>
      <c r="J134" s="10" t="s">
        <v>21</v>
      </c>
      <c r="K134" s="8" t="s">
        <v>16</v>
      </c>
      <c r="L134" s="11">
        <v>46295</v>
      </c>
      <c r="M134" s="9" t="s">
        <v>34</v>
      </c>
      <c r="N134" s="18">
        <v>91</v>
      </c>
      <c r="O134" s="12">
        <v>1000000</v>
      </c>
      <c r="P134" s="8" t="s">
        <v>63</v>
      </c>
    </row>
    <row r="135" spans="1:18" x14ac:dyDescent="0.25">
      <c r="A135" s="8" t="s">
        <v>18</v>
      </c>
      <c r="B135" s="8" t="s">
        <v>39</v>
      </c>
      <c r="C135" s="8" t="s">
        <v>14</v>
      </c>
      <c r="D135" s="9" t="s">
        <v>416</v>
      </c>
      <c r="E135" s="9" t="s">
        <v>354</v>
      </c>
      <c r="F135" s="17" t="s">
        <v>355</v>
      </c>
      <c r="G135" s="10"/>
      <c r="H135" s="8">
        <v>8</v>
      </c>
      <c r="I135" s="37" t="s">
        <v>139</v>
      </c>
      <c r="J135" s="10" t="s">
        <v>27</v>
      </c>
      <c r="K135" s="8" t="s">
        <v>16</v>
      </c>
      <c r="L135" s="11">
        <v>46142</v>
      </c>
      <c r="M135" s="9" t="s">
        <v>34</v>
      </c>
      <c r="N135" s="8">
        <v>38</v>
      </c>
      <c r="O135" s="12">
        <v>517312</v>
      </c>
      <c r="P135" s="8" t="s">
        <v>11</v>
      </c>
      <c r="R135" s="12"/>
    </row>
    <row r="136" spans="1:18" x14ac:dyDescent="0.25">
      <c r="A136" s="8" t="s">
        <v>18</v>
      </c>
      <c r="B136" s="8" t="s">
        <v>39</v>
      </c>
      <c r="C136" s="8" t="s">
        <v>14</v>
      </c>
      <c r="D136" s="9" t="s">
        <v>416</v>
      </c>
      <c r="E136" s="9" t="s">
        <v>354</v>
      </c>
      <c r="F136" s="17" t="s">
        <v>356</v>
      </c>
      <c r="G136" s="10"/>
      <c r="H136" s="8">
        <v>8</v>
      </c>
      <c r="I136" s="37" t="s">
        <v>139</v>
      </c>
      <c r="J136" s="10" t="s">
        <v>27</v>
      </c>
      <c r="K136" s="8" t="s">
        <v>16</v>
      </c>
      <c r="L136" s="11">
        <v>46142</v>
      </c>
      <c r="M136" s="9" t="s">
        <v>34</v>
      </c>
      <c r="N136" s="18">
        <v>45</v>
      </c>
      <c r="O136" s="12">
        <v>624000</v>
      </c>
      <c r="P136" s="8" t="s">
        <v>11</v>
      </c>
    </row>
    <row r="137" spans="1:18" x14ac:dyDescent="0.25">
      <c r="A137" s="8" t="s">
        <v>18</v>
      </c>
      <c r="B137" s="8" t="s">
        <v>39</v>
      </c>
      <c r="C137" s="8" t="s">
        <v>14</v>
      </c>
      <c r="D137" s="9" t="s">
        <v>300</v>
      </c>
      <c r="E137" s="10" t="s">
        <v>357</v>
      </c>
      <c r="F137" s="17" t="s">
        <v>358</v>
      </c>
      <c r="G137" s="10"/>
      <c r="H137" s="8">
        <v>8</v>
      </c>
      <c r="I137" s="37" t="s">
        <v>359</v>
      </c>
      <c r="J137" s="10" t="s">
        <v>27</v>
      </c>
      <c r="K137" s="8" t="s">
        <v>22</v>
      </c>
      <c r="L137" s="11">
        <v>45933</v>
      </c>
      <c r="M137" s="9" t="s">
        <v>34</v>
      </c>
      <c r="N137" s="18">
        <v>242</v>
      </c>
      <c r="O137" s="12">
        <v>1000000</v>
      </c>
      <c r="P137" s="8" t="s">
        <v>11</v>
      </c>
    </row>
    <row r="138" spans="1:18" ht="30" x14ac:dyDescent="0.25">
      <c r="A138" s="8" t="s">
        <v>18</v>
      </c>
      <c r="B138" s="8" t="s">
        <v>39</v>
      </c>
      <c r="C138" s="8" t="s">
        <v>14</v>
      </c>
      <c r="D138" s="9" t="s">
        <v>360</v>
      </c>
      <c r="E138" s="9" t="s">
        <v>361</v>
      </c>
      <c r="F138" s="17" t="s">
        <v>417</v>
      </c>
      <c r="G138" s="10"/>
      <c r="H138" s="8">
        <v>6</v>
      </c>
      <c r="I138" s="9" t="s">
        <v>418</v>
      </c>
      <c r="J138" s="10" t="s">
        <v>27</v>
      </c>
      <c r="K138" s="8" t="s">
        <v>16</v>
      </c>
      <c r="L138" s="11">
        <v>46356</v>
      </c>
      <c r="M138" s="9" t="s">
        <v>38</v>
      </c>
      <c r="N138" s="18">
        <v>56</v>
      </c>
      <c r="O138" s="12">
        <v>526000</v>
      </c>
      <c r="P138" s="18" t="s">
        <v>11</v>
      </c>
    </row>
    <row r="139" spans="1:18" ht="45" x14ac:dyDescent="0.25">
      <c r="A139" s="8" t="s">
        <v>18</v>
      </c>
      <c r="B139" s="8" t="s">
        <v>39</v>
      </c>
      <c r="C139" s="8" t="s">
        <v>14</v>
      </c>
      <c r="D139" s="9" t="s">
        <v>362</v>
      </c>
      <c r="E139" s="10" t="s">
        <v>363</v>
      </c>
      <c r="F139" s="17" t="s">
        <v>423</v>
      </c>
      <c r="G139" s="10"/>
      <c r="H139" s="8">
        <v>9</v>
      </c>
      <c r="I139" s="37" t="s">
        <v>424</v>
      </c>
      <c r="J139" s="10" t="s">
        <v>27</v>
      </c>
      <c r="K139" s="8" t="s">
        <v>16</v>
      </c>
      <c r="L139" s="11">
        <v>46173</v>
      </c>
      <c r="M139" s="9" t="s">
        <v>34</v>
      </c>
      <c r="N139" s="18">
        <v>276</v>
      </c>
      <c r="O139" s="12">
        <v>1000000</v>
      </c>
      <c r="P139" s="18" t="s">
        <v>11</v>
      </c>
    </row>
    <row r="140" spans="1:18" x14ac:dyDescent="0.25">
      <c r="A140" s="8" t="s">
        <v>18</v>
      </c>
      <c r="B140" s="8" t="s">
        <v>39</v>
      </c>
      <c r="C140" s="8" t="s">
        <v>14</v>
      </c>
      <c r="D140" s="9" t="s">
        <v>364</v>
      </c>
      <c r="E140" s="9" t="s">
        <v>365</v>
      </c>
      <c r="F140" s="17" t="s">
        <v>366</v>
      </c>
      <c r="G140" s="10"/>
      <c r="H140" s="8">
        <v>6</v>
      </c>
      <c r="I140" s="9" t="s">
        <v>367</v>
      </c>
      <c r="J140" s="10" t="s">
        <v>27</v>
      </c>
      <c r="K140" s="8" t="s">
        <v>16</v>
      </c>
      <c r="L140" s="11">
        <v>46142</v>
      </c>
      <c r="M140" s="9" t="s">
        <v>34</v>
      </c>
      <c r="N140" s="18">
        <v>43</v>
      </c>
      <c r="O140" s="12">
        <v>615000</v>
      </c>
      <c r="P140" s="8" t="s">
        <v>368</v>
      </c>
    </row>
    <row r="141" spans="1:18" x14ac:dyDescent="0.25">
      <c r="A141" s="8" t="s">
        <v>18</v>
      </c>
      <c r="B141" s="8" t="s">
        <v>39</v>
      </c>
      <c r="C141" s="8" t="s">
        <v>14</v>
      </c>
      <c r="D141" s="9" t="s">
        <v>369</v>
      </c>
      <c r="E141" s="9" t="s">
        <v>370</v>
      </c>
      <c r="F141" s="17" t="s">
        <v>371</v>
      </c>
      <c r="G141" s="10"/>
      <c r="H141" s="8">
        <v>6</v>
      </c>
      <c r="I141" s="9" t="s">
        <v>110</v>
      </c>
      <c r="J141" s="10" t="s">
        <v>27</v>
      </c>
      <c r="K141" s="8" t="s">
        <v>16</v>
      </c>
      <c r="L141" s="11"/>
      <c r="M141" s="9" t="s">
        <v>34</v>
      </c>
      <c r="N141" s="18">
        <v>49</v>
      </c>
      <c r="O141" s="12">
        <v>785000</v>
      </c>
      <c r="P141" s="8" t="s">
        <v>11</v>
      </c>
    </row>
    <row r="142" spans="1:18" x14ac:dyDescent="0.25">
      <c r="A142" s="8" t="s">
        <v>24</v>
      </c>
      <c r="B142" s="8" t="s">
        <v>39</v>
      </c>
      <c r="C142" s="8" t="s">
        <v>14</v>
      </c>
      <c r="D142" s="9" t="s">
        <v>93</v>
      </c>
      <c r="E142" s="9" t="s">
        <v>94</v>
      </c>
      <c r="F142" s="17" t="s">
        <v>95</v>
      </c>
      <c r="G142" s="10"/>
      <c r="H142" s="8">
        <v>7</v>
      </c>
      <c r="I142" s="41" t="s">
        <v>372</v>
      </c>
      <c r="J142" s="10" t="s">
        <v>27</v>
      </c>
      <c r="K142" s="8" t="s">
        <v>16</v>
      </c>
      <c r="L142" s="11">
        <v>46203</v>
      </c>
      <c r="M142" s="9" t="s">
        <v>34</v>
      </c>
      <c r="N142" s="18">
        <v>9</v>
      </c>
      <c r="O142" s="12">
        <v>657360</v>
      </c>
    </row>
    <row r="143" spans="1:18" x14ac:dyDescent="0.25">
      <c r="A143" s="8" t="s">
        <v>24</v>
      </c>
      <c r="B143" s="8" t="s">
        <v>39</v>
      </c>
      <c r="C143" s="8" t="s">
        <v>14</v>
      </c>
      <c r="D143" s="9" t="s">
        <v>300</v>
      </c>
      <c r="E143" s="9" t="s">
        <v>373</v>
      </c>
      <c r="F143" s="17" t="s">
        <v>374</v>
      </c>
      <c r="G143" s="10"/>
      <c r="H143" s="8">
        <v>6</v>
      </c>
      <c r="I143" s="19"/>
      <c r="J143" s="10" t="s">
        <v>27</v>
      </c>
      <c r="K143" s="8" t="s">
        <v>16</v>
      </c>
      <c r="L143" s="11" t="s">
        <v>375</v>
      </c>
      <c r="M143" s="9" t="s">
        <v>38</v>
      </c>
      <c r="N143" s="18">
        <v>127</v>
      </c>
      <c r="O143" s="12">
        <v>667360</v>
      </c>
      <c r="P143" s="8" t="s">
        <v>376</v>
      </c>
    </row>
    <row r="144" spans="1:18" ht="45" x14ac:dyDescent="0.25">
      <c r="A144" s="8" t="s">
        <v>24</v>
      </c>
      <c r="B144" s="8" t="s">
        <v>39</v>
      </c>
      <c r="C144" s="8" t="s">
        <v>14</v>
      </c>
      <c r="D144" s="9" t="s">
        <v>231</v>
      </c>
      <c r="E144" s="9" t="s">
        <v>226</v>
      </c>
      <c r="F144" s="17" t="s">
        <v>421</v>
      </c>
      <c r="G144" s="10"/>
      <c r="H144" s="8">
        <v>5</v>
      </c>
      <c r="I144" s="19" t="s">
        <v>422</v>
      </c>
      <c r="J144" s="10" t="s">
        <v>9</v>
      </c>
      <c r="K144" s="8" t="s">
        <v>16</v>
      </c>
      <c r="L144" s="11">
        <v>46142</v>
      </c>
      <c r="M144" s="9" t="s">
        <v>34</v>
      </c>
      <c r="N144" s="18">
        <v>9</v>
      </c>
      <c r="O144" s="12">
        <v>197360</v>
      </c>
    </row>
    <row r="145" spans="1:16" x14ac:dyDescent="0.25">
      <c r="A145" s="8" t="s">
        <v>24</v>
      </c>
      <c r="B145" s="8" t="s">
        <v>39</v>
      </c>
      <c r="C145" s="8" t="s">
        <v>14</v>
      </c>
      <c r="D145" s="9" t="s">
        <v>427</v>
      </c>
      <c r="E145" s="9" t="s">
        <v>234</v>
      </c>
      <c r="F145" s="17" t="s">
        <v>235</v>
      </c>
      <c r="G145" s="10"/>
      <c r="H145" s="8">
        <v>8</v>
      </c>
      <c r="I145" s="9" t="s">
        <v>171</v>
      </c>
      <c r="J145" s="10" t="s">
        <v>9</v>
      </c>
      <c r="K145" s="8" t="s">
        <v>22</v>
      </c>
      <c r="L145" s="11">
        <v>45930</v>
      </c>
      <c r="M145" s="9" t="s">
        <v>38</v>
      </c>
      <c r="N145" s="18">
        <v>15</v>
      </c>
      <c r="O145" s="12">
        <v>600000</v>
      </c>
    </row>
    <row r="146" spans="1:16" ht="30" x14ac:dyDescent="0.25">
      <c r="A146" s="8" t="s">
        <v>24</v>
      </c>
      <c r="B146" s="8" t="s">
        <v>39</v>
      </c>
      <c r="C146" s="8" t="s">
        <v>14</v>
      </c>
      <c r="D146" s="9" t="s">
        <v>93</v>
      </c>
      <c r="E146" s="9" t="s">
        <v>216</v>
      </c>
      <c r="F146" s="17" t="s">
        <v>419</v>
      </c>
      <c r="G146" s="10"/>
      <c r="H146" s="8">
        <v>8</v>
      </c>
      <c r="I146" s="37" t="s">
        <v>420</v>
      </c>
      <c r="J146" s="10" t="s">
        <v>9</v>
      </c>
      <c r="K146" s="8" t="s">
        <v>16</v>
      </c>
      <c r="L146" s="11">
        <v>46172</v>
      </c>
      <c r="M146" s="9" t="s">
        <v>34</v>
      </c>
      <c r="N146" s="37">
        <v>5</v>
      </c>
      <c r="O146" s="12">
        <v>550000</v>
      </c>
    </row>
    <row r="147" spans="1:16" s="1" customFormat="1" ht="15" customHeight="1" x14ac:dyDescent="0.25">
      <c r="A147" s="1" t="s">
        <v>6</v>
      </c>
      <c r="B147" s="1" t="s">
        <v>43</v>
      </c>
      <c r="C147" s="1" t="s">
        <v>14</v>
      </c>
      <c r="D147" s="1" t="s">
        <v>213</v>
      </c>
      <c r="E147" s="1" t="s">
        <v>214</v>
      </c>
      <c r="F147" s="8" t="s">
        <v>215</v>
      </c>
      <c r="G147" s="3"/>
      <c r="H147" s="4"/>
      <c r="I147" s="4"/>
      <c r="J147" s="3" t="s">
        <v>9</v>
      </c>
      <c r="K147" s="1" t="s">
        <v>22</v>
      </c>
      <c r="L147" s="22">
        <v>44712</v>
      </c>
      <c r="M147" s="1" t="str">
        <f t="shared" ref="M147:M154" si="7">IF(AND(L147&gt;=DATE(2020,7,1), L147&lt;=DATE(2021,6,30)), "FY2021",
IF(AND(L147&gt;=DATE(2021,7,1), L147&lt;=DATE(2022,6,30)), "FY2022",
IF(AND(L147&gt;=DATE(2022,7,1), L147&lt;=DATE(2023,6,30)), "FY2023",
IF(AND(L147&gt;=DATE(2023,7,1), L147&lt;=DATE(2024,6,30)), "FY2024",
IF(AND(L147&gt;=DATE(2024,7,1), L147&lt;=DATE(2025,6,30)), "FY2025",
IF(AND(L147&gt;=DATE(2025,7,1), L147&lt;=DATE(2026,6,30)), "FY2026",
IF(AND(L147&gt;=DATE(2026,7,1), L147&lt;=DATE(2027,6,30)), "FY2027",
IF(AND(L147&gt;=DATE(2027,7,1), L147&lt;=DATE(2028,6,30)), "FY2028",
IF(AND(L147&gt;=DATE(2028,7,1), L147&lt;=DATE(2029,6,30)), "FY2029","")))))))))</f>
        <v>FY2022</v>
      </c>
      <c r="N147" s="4">
        <v>2</v>
      </c>
      <c r="O147" s="23">
        <v>62000</v>
      </c>
    </row>
    <row r="148" spans="1:16" s="1" customFormat="1" ht="15" customHeight="1" x14ac:dyDescent="0.25">
      <c r="A148" s="1" t="s">
        <v>6</v>
      </c>
      <c r="B148" s="1" t="s">
        <v>43</v>
      </c>
      <c r="C148" s="1" t="s">
        <v>14</v>
      </c>
      <c r="D148" s="1" t="s">
        <v>104</v>
      </c>
      <c r="E148" s="1" t="s">
        <v>105</v>
      </c>
      <c r="F148" s="8"/>
      <c r="G148" s="3"/>
      <c r="H148" s="4"/>
      <c r="I148" s="4"/>
      <c r="J148" s="3" t="s">
        <v>27</v>
      </c>
      <c r="K148" s="1" t="s">
        <v>22</v>
      </c>
      <c r="L148" s="22">
        <v>44742</v>
      </c>
      <c r="M148" s="1" t="str">
        <f t="shared" si="7"/>
        <v>FY2022</v>
      </c>
      <c r="N148" s="4">
        <v>45</v>
      </c>
      <c r="O148" s="23">
        <v>150000</v>
      </c>
    </row>
    <row r="149" spans="1:16" s="1" customFormat="1" ht="15" customHeight="1" x14ac:dyDescent="0.25">
      <c r="A149" s="1" t="s">
        <v>6</v>
      </c>
      <c r="B149" s="1" t="s">
        <v>43</v>
      </c>
      <c r="C149" s="1" t="s">
        <v>14</v>
      </c>
      <c r="D149" s="1" t="s">
        <v>210</v>
      </c>
      <c r="E149" s="1" t="s">
        <v>217</v>
      </c>
      <c r="F149" s="8" t="s">
        <v>218</v>
      </c>
      <c r="G149" s="3"/>
      <c r="H149" s="4"/>
      <c r="I149" s="4"/>
      <c r="J149" s="3" t="s">
        <v>9</v>
      </c>
      <c r="K149" s="1" t="s">
        <v>22</v>
      </c>
      <c r="L149" s="22">
        <v>44956</v>
      </c>
      <c r="M149" s="1" t="str">
        <f t="shared" si="7"/>
        <v>FY2023</v>
      </c>
      <c r="N149" s="4">
        <v>4</v>
      </c>
      <c r="O149" s="23">
        <v>231000</v>
      </c>
    </row>
    <row r="150" spans="1:16" s="1" customFormat="1" ht="15" customHeight="1" x14ac:dyDescent="0.25">
      <c r="A150" s="1" t="s">
        <v>6</v>
      </c>
      <c r="B150" s="1" t="s">
        <v>43</v>
      </c>
      <c r="C150" s="1" t="s">
        <v>14</v>
      </c>
      <c r="D150" s="1" t="s">
        <v>210</v>
      </c>
      <c r="E150" s="1" t="s">
        <v>229</v>
      </c>
      <c r="F150" s="8"/>
      <c r="G150" s="3"/>
      <c r="H150" s="4"/>
      <c r="I150" s="4"/>
      <c r="J150" s="3" t="s">
        <v>9</v>
      </c>
      <c r="K150" s="1" t="s">
        <v>22</v>
      </c>
      <c r="L150" s="22">
        <v>45344</v>
      </c>
      <c r="M150" s="1" t="str">
        <f t="shared" si="7"/>
        <v>FY2024</v>
      </c>
      <c r="N150" s="4">
        <v>7</v>
      </c>
      <c r="O150" s="23">
        <v>482000</v>
      </c>
    </row>
    <row r="151" spans="1:16" s="1" customFormat="1" ht="15" customHeight="1" x14ac:dyDescent="0.25">
      <c r="A151" s="1" t="s">
        <v>6</v>
      </c>
      <c r="B151" s="1" t="s">
        <v>43</v>
      </c>
      <c r="C151" s="1" t="s">
        <v>14</v>
      </c>
      <c r="D151" s="1" t="s">
        <v>125</v>
      </c>
      <c r="E151" s="1" t="s">
        <v>248</v>
      </c>
      <c r="F151" s="8" t="s">
        <v>249</v>
      </c>
      <c r="G151" s="13"/>
      <c r="H151" s="24" t="s">
        <v>224</v>
      </c>
      <c r="I151" s="24" t="s">
        <v>224</v>
      </c>
      <c r="J151" s="3" t="s">
        <v>27</v>
      </c>
      <c r="K151" s="1" t="s">
        <v>22</v>
      </c>
      <c r="L151" s="22">
        <v>45248</v>
      </c>
      <c r="M151" s="1" t="str">
        <f t="shared" si="7"/>
        <v>FY2024</v>
      </c>
      <c r="N151" s="4">
        <v>67</v>
      </c>
      <c r="O151" s="23">
        <v>500000</v>
      </c>
      <c r="P151" s="1" t="s">
        <v>111</v>
      </c>
    </row>
    <row r="152" spans="1:16" s="1" customFormat="1" ht="15" customHeight="1" x14ac:dyDescent="0.25">
      <c r="A152" s="1" t="s">
        <v>18</v>
      </c>
      <c r="B152" s="1" t="s">
        <v>43</v>
      </c>
      <c r="C152" s="1" t="s">
        <v>14</v>
      </c>
      <c r="D152" s="1" t="s">
        <v>195</v>
      </c>
      <c r="E152" s="1" t="s">
        <v>196</v>
      </c>
      <c r="F152" s="8" t="s">
        <v>197</v>
      </c>
      <c r="G152" s="3"/>
      <c r="H152" s="1">
        <v>5</v>
      </c>
      <c r="I152" s="4"/>
      <c r="J152" s="3" t="s">
        <v>21</v>
      </c>
      <c r="K152" s="1" t="s">
        <v>22</v>
      </c>
      <c r="L152" s="22">
        <v>45621</v>
      </c>
      <c r="M152" s="1" t="str">
        <f t="shared" si="7"/>
        <v>FY2025</v>
      </c>
      <c r="N152" s="1">
        <v>32</v>
      </c>
      <c r="O152" s="23">
        <f>67885+50000</f>
        <v>117885</v>
      </c>
    </row>
    <row r="153" spans="1:16" s="1" customFormat="1" ht="15" customHeight="1" x14ac:dyDescent="0.25">
      <c r="A153" s="1" t="s">
        <v>18</v>
      </c>
      <c r="B153" s="1" t="s">
        <v>43</v>
      </c>
      <c r="C153" s="1" t="s">
        <v>14</v>
      </c>
      <c r="D153" s="1" t="s">
        <v>104</v>
      </c>
      <c r="E153" s="1" t="s">
        <v>250</v>
      </c>
      <c r="F153" s="8" t="s">
        <v>251</v>
      </c>
      <c r="G153" s="13"/>
      <c r="H153" s="24" t="s">
        <v>224</v>
      </c>
      <c r="I153" s="24" t="s">
        <v>224</v>
      </c>
      <c r="J153" s="3" t="s">
        <v>27</v>
      </c>
      <c r="K153" s="1" t="s">
        <v>22</v>
      </c>
      <c r="L153" s="22">
        <v>45838</v>
      </c>
      <c r="M153" s="1" t="str">
        <f t="shared" si="7"/>
        <v>FY2025</v>
      </c>
      <c r="N153" s="4">
        <v>72</v>
      </c>
      <c r="O153" s="23">
        <v>500000</v>
      </c>
      <c r="P153" s="1" t="s">
        <v>111</v>
      </c>
    </row>
    <row r="154" spans="1:16" s="1" customFormat="1" ht="15" customHeight="1" x14ac:dyDescent="0.25">
      <c r="A154" s="1" t="s">
        <v>18</v>
      </c>
      <c r="B154" s="1" t="s">
        <v>43</v>
      </c>
      <c r="C154" s="1" t="s">
        <v>14</v>
      </c>
      <c r="D154" s="1" t="s">
        <v>147</v>
      </c>
      <c r="E154" s="1" t="s">
        <v>148</v>
      </c>
      <c r="F154" s="8"/>
      <c r="G154" s="3"/>
      <c r="H154" s="4"/>
      <c r="I154" s="4"/>
      <c r="J154" s="3" t="s">
        <v>27</v>
      </c>
      <c r="K154" s="1" t="s">
        <v>22</v>
      </c>
      <c r="L154" s="22">
        <v>45838</v>
      </c>
      <c r="M154" s="1" t="str">
        <f t="shared" si="7"/>
        <v>FY2025</v>
      </c>
      <c r="N154" s="4">
        <v>122</v>
      </c>
      <c r="O154" s="23">
        <v>1000000</v>
      </c>
    </row>
    <row r="155" spans="1:16" s="1" customFormat="1" ht="15" customHeight="1" x14ac:dyDescent="0.25">
      <c r="A155" s="1" t="s">
        <v>24</v>
      </c>
      <c r="B155" s="1" t="s">
        <v>43</v>
      </c>
      <c r="C155" s="1" t="s">
        <v>14</v>
      </c>
      <c r="D155" s="1" t="s">
        <v>200</v>
      </c>
      <c r="E155" s="1" t="s">
        <v>201</v>
      </c>
      <c r="F155" s="10" t="s">
        <v>202</v>
      </c>
      <c r="H155" s="4">
        <v>5</v>
      </c>
      <c r="I155" s="42" t="s">
        <v>203</v>
      </c>
      <c r="J155" s="3" t="s">
        <v>21</v>
      </c>
      <c r="K155" s="1" t="s">
        <v>22</v>
      </c>
      <c r="L155" s="22">
        <v>45838</v>
      </c>
      <c r="M155" s="1" t="s">
        <v>34</v>
      </c>
      <c r="N155" s="4">
        <v>82</v>
      </c>
      <c r="O155" s="23">
        <v>1000000</v>
      </c>
    </row>
    <row r="156" spans="1:16" s="1" customFormat="1" ht="15" customHeight="1" x14ac:dyDescent="0.25">
      <c r="A156" s="1" t="s">
        <v>29</v>
      </c>
      <c r="B156" s="1" t="s">
        <v>43</v>
      </c>
      <c r="C156" s="1" t="s">
        <v>14</v>
      </c>
      <c r="D156" s="1" t="s">
        <v>221</v>
      </c>
      <c r="E156" s="1" t="s">
        <v>239</v>
      </c>
      <c r="F156" s="37" t="s">
        <v>252</v>
      </c>
      <c r="G156" s="3"/>
      <c r="H156" s="1">
        <v>6</v>
      </c>
      <c r="I156" s="4"/>
      <c r="J156" s="3" t="s">
        <v>9</v>
      </c>
      <c r="K156" s="1" t="s">
        <v>10</v>
      </c>
      <c r="L156" s="22">
        <v>46326</v>
      </c>
      <c r="M156" s="1" t="str">
        <f>IF(AND(L156&gt;=DATE(2020,7,1), L156&lt;=DATE(2021,6,30)), "FY2021",
IF(AND(L156&gt;=DATE(2021,7,1), L156&lt;=DATE(2022,6,30)), "FY2022",
IF(AND(L156&gt;=DATE(2022,7,1), L156&lt;=DATE(2023,6,30)), "FY2023",
IF(AND(L156&gt;=DATE(2023,7,1), L156&lt;=DATE(2024,6,30)), "FY2024",
IF(AND(L156&gt;=DATE(2024,7,1), L156&lt;=DATE(2025,6,30)), "FY2025",
IF(AND(L156&gt;=DATE(2025,7,1), L156&lt;=DATE(2026,6,30)), "FY2026",
IF(AND(L156&gt;=DATE(2026,7,1), L156&lt;=DATE(2027,6,30)), "FY2027",
IF(AND(L156&gt;=DATE(2027,7,1), L156&lt;=DATE(2028,6,30)), "FY2028",
IF(AND(L156&gt;=DATE(2028,7,1), L156&lt;=DATE(2029,6,30)), "FY2029","")))))))))</f>
        <v>FY2027</v>
      </c>
      <c r="N156" s="1">
        <v>10</v>
      </c>
      <c r="O156" s="23">
        <v>175000</v>
      </c>
    </row>
    <row r="157" spans="1:16" s="1" customFormat="1" ht="15" customHeight="1" x14ac:dyDescent="0.25">
      <c r="A157" s="1" t="s">
        <v>29</v>
      </c>
      <c r="B157" s="1" t="s">
        <v>43</v>
      </c>
      <c r="C157" s="1" t="s">
        <v>14</v>
      </c>
      <c r="D157" s="1" t="s">
        <v>135</v>
      </c>
      <c r="E157" s="1" t="s">
        <v>136</v>
      </c>
      <c r="F157" s="8" t="s">
        <v>137</v>
      </c>
      <c r="G157" s="3"/>
      <c r="H157" s="1">
        <v>6</v>
      </c>
      <c r="I157" s="4"/>
      <c r="J157" s="3" t="s">
        <v>27</v>
      </c>
      <c r="K157" s="1" t="s">
        <v>10</v>
      </c>
      <c r="L157" s="22"/>
      <c r="M157" s="1" t="s">
        <v>42</v>
      </c>
      <c r="N157" s="1">
        <v>82</v>
      </c>
      <c r="O157" s="23">
        <v>175000</v>
      </c>
    </row>
    <row r="158" spans="1:16" s="1" customFormat="1" ht="15" customHeight="1" x14ac:dyDescent="0.25">
      <c r="A158" s="1" t="s">
        <v>29</v>
      </c>
      <c r="B158" s="1" t="s">
        <v>43</v>
      </c>
      <c r="C158" s="1" t="s">
        <v>14</v>
      </c>
      <c r="D158" s="1" t="s">
        <v>221</v>
      </c>
      <c r="E158" s="1" t="s">
        <v>253</v>
      </c>
      <c r="F158" s="8" t="s">
        <v>253</v>
      </c>
      <c r="G158" s="3"/>
      <c r="H158" s="1">
        <v>4</v>
      </c>
      <c r="I158" s="4"/>
      <c r="J158" s="3" t="s">
        <v>27</v>
      </c>
      <c r="K158" s="1" t="s">
        <v>10</v>
      </c>
      <c r="L158" s="22">
        <v>46539</v>
      </c>
      <c r="M158" s="1" t="str">
        <f>IF(AND(L158&gt;=DATE(2020,7,1), L158&lt;=DATE(2021,6,30)), "FY2021",
IF(AND(L158&gt;=DATE(2021,7,1), L158&lt;=DATE(2022,6,30)), "FY2022",
IF(AND(L158&gt;=DATE(2022,7,1), L158&lt;=DATE(2023,6,30)), "FY2023",
IF(AND(L158&gt;=DATE(2023,7,1), L158&lt;=DATE(2024,6,30)), "FY2024",
IF(AND(L158&gt;=DATE(2024,7,1), L158&lt;=DATE(2025,6,30)), "FY2025",
IF(AND(L158&gt;=DATE(2025,7,1), L158&lt;=DATE(2026,6,30)), "FY2026",
IF(AND(L158&gt;=DATE(2026,7,1), L158&lt;=DATE(2027,6,30)), "FY2027",
IF(AND(L158&gt;=DATE(2027,7,1), L158&lt;=DATE(2028,6,30)), "FY2028",
IF(AND(L158&gt;=DATE(2028,7,1), L158&lt;=DATE(2029,6,30)), "FY2029","")))))))))</f>
        <v>FY2027</v>
      </c>
      <c r="N158" s="1">
        <v>20</v>
      </c>
      <c r="O158" s="23">
        <v>450000</v>
      </c>
      <c r="P158" s="1" t="s">
        <v>11</v>
      </c>
    </row>
    <row r="159" spans="1:16" s="1" customFormat="1" ht="15" customHeight="1" x14ac:dyDescent="0.25">
      <c r="A159" s="1" t="s">
        <v>29</v>
      </c>
      <c r="B159" s="1" t="s">
        <v>43</v>
      </c>
      <c r="C159" s="1" t="s">
        <v>14</v>
      </c>
      <c r="D159" s="1" t="s">
        <v>254</v>
      </c>
      <c r="E159" s="1" t="s">
        <v>255</v>
      </c>
      <c r="F159" s="8" t="s">
        <v>256</v>
      </c>
      <c r="G159" s="3"/>
      <c r="H159" s="1">
        <v>9</v>
      </c>
      <c r="I159" s="4"/>
      <c r="J159" s="3" t="s">
        <v>27</v>
      </c>
      <c r="K159" s="1" t="s">
        <v>16</v>
      </c>
      <c r="L159" s="22">
        <v>46813</v>
      </c>
      <c r="M159" s="1" t="str">
        <f>IF(AND(L159&gt;=DATE(2020,7,1), L159&lt;=DATE(2021,6,30)), "FY2021",
IF(AND(L159&gt;=DATE(2021,7,1), L159&lt;=DATE(2022,6,30)), "FY2022",
IF(AND(L159&gt;=DATE(2022,7,1), L159&lt;=DATE(2023,6,30)), "FY2023",
IF(AND(L159&gt;=DATE(2023,7,1), L159&lt;=DATE(2024,6,30)), "FY2024",
IF(AND(L159&gt;=DATE(2024,7,1), L159&lt;=DATE(2025,6,30)), "FY2025",
IF(AND(L159&gt;=DATE(2025,7,1), L159&lt;=DATE(2026,6,30)), "FY2026",
IF(AND(L159&gt;=DATE(2026,7,1), L159&lt;=DATE(2027,6,30)), "FY2027",
IF(AND(L159&gt;=DATE(2027,7,1), L159&lt;=DATE(2028,6,30)), "FY2028",
IF(AND(L159&gt;=DATE(2028,7,1), L159&lt;=DATE(2029,6,30)), "FY2029","")))))))))</f>
        <v>FY2028</v>
      </c>
      <c r="N159" s="1">
        <v>151</v>
      </c>
      <c r="O159" s="23">
        <v>500000</v>
      </c>
    </row>
    <row r="160" spans="1:16" s="1" customFormat="1" ht="15" customHeight="1" x14ac:dyDescent="0.25">
      <c r="A160" s="1" t="s">
        <v>29</v>
      </c>
      <c r="B160" s="1" t="s">
        <v>43</v>
      </c>
      <c r="C160" s="1" t="s">
        <v>14</v>
      </c>
      <c r="D160" s="1" t="s">
        <v>180</v>
      </c>
      <c r="E160" s="1" t="s">
        <v>232</v>
      </c>
      <c r="F160" s="37" t="s">
        <v>233</v>
      </c>
      <c r="G160" s="13"/>
      <c r="H160" s="24">
        <v>8</v>
      </c>
      <c r="I160" s="24"/>
      <c r="J160" s="3" t="s">
        <v>9</v>
      </c>
      <c r="K160" s="1" t="s">
        <v>16</v>
      </c>
      <c r="M160" s="1" t="s">
        <v>34</v>
      </c>
      <c r="N160" s="1">
        <v>15</v>
      </c>
      <c r="O160" s="23">
        <v>550000</v>
      </c>
      <c r="P160" s="1" t="s">
        <v>111</v>
      </c>
    </row>
    <row r="161" spans="1:16" s="1" customFormat="1" x14ac:dyDescent="0.25">
      <c r="A161" s="1" t="s">
        <v>29</v>
      </c>
      <c r="B161" s="1" t="s">
        <v>43</v>
      </c>
      <c r="C161" s="1" t="s">
        <v>14</v>
      </c>
      <c r="D161" s="1" t="s">
        <v>221</v>
      </c>
      <c r="E161" s="1" t="s">
        <v>222</v>
      </c>
      <c r="F161" s="8" t="s">
        <v>223</v>
      </c>
      <c r="G161" s="14"/>
      <c r="H161" s="24">
        <v>8</v>
      </c>
      <c r="I161" s="24"/>
      <c r="J161" s="3" t="s">
        <v>9</v>
      </c>
      <c r="K161" s="1" t="s">
        <v>16</v>
      </c>
      <c r="L161" s="25">
        <v>45863</v>
      </c>
      <c r="M161" s="1" t="str">
        <f>IF(AND(L161&gt;=DATE(2020,7,1), L161&lt;=DATE(2021,6,30)), "FY2021",
IF(AND(L161&gt;=DATE(2021,7,1), L161&lt;=DATE(2022,6,30)), "FY2022",
IF(AND(L161&gt;=DATE(2022,7,1), L161&lt;=DATE(2023,6,30)), "FY2023",
IF(AND(L161&gt;=DATE(2023,7,1), L161&lt;=DATE(2024,6,30)), "FY2024",
IF(AND(L161&gt;=DATE(2024,7,1), L161&lt;=DATE(2025,6,30)), "FY2025",
IF(AND(L161&gt;=DATE(2025,7,1), L161&lt;=DATE(2026,6,30)), "FY2026",
IF(AND(L161&gt;=DATE(2026,7,1), L161&lt;=DATE(2027,6,30)), "FY2027",
IF(AND(L161&gt;=DATE(2027,7,1), L161&lt;=DATE(2028,6,30)), "FY2028",
IF(AND(L161&gt;=DATE(2028,7,1), L161&lt;=DATE(2029,6,30)), "FY2029","")))))))))</f>
        <v>FY2026</v>
      </c>
      <c r="N161" s="1">
        <v>5</v>
      </c>
      <c r="O161" s="23">
        <v>600000</v>
      </c>
      <c r="P161" s="1" t="s">
        <v>185</v>
      </c>
    </row>
    <row r="162" spans="1:16" s="1" customFormat="1" ht="15" customHeight="1" x14ac:dyDescent="0.25">
      <c r="A162" s="1" t="s">
        <v>29</v>
      </c>
      <c r="B162" s="1" t="s">
        <v>43</v>
      </c>
      <c r="C162" s="1" t="s">
        <v>14</v>
      </c>
      <c r="D162" s="1" t="s">
        <v>254</v>
      </c>
      <c r="E162" s="1" t="s">
        <v>257</v>
      </c>
      <c r="F162" s="8" t="s">
        <v>258</v>
      </c>
      <c r="G162" s="13"/>
      <c r="H162" s="24">
        <v>6</v>
      </c>
      <c r="I162" s="24"/>
      <c r="J162" s="3" t="s">
        <v>27</v>
      </c>
      <c r="K162" s="1" t="s">
        <v>16</v>
      </c>
      <c r="L162" s="22">
        <v>46155</v>
      </c>
      <c r="M162" s="1" t="str">
        <f>IF(AND(L162&gt;=DATE(2020,7,1), L162&lt;=DATE(2021,6,30)), "FY2021",
IF(AND(L162&gt;=DATE(2021,7,1), L162&lt;=DATE(2022,6,30)), "FY2022",
IF(AND(L162&gt;=DATE(2022,7,1), L162&lt;=DATE(2023,6,30)), "FY2023",
IF(AND(L162&gt;=DATE(2023,7,1), L162&lt;=DATE(2024,6,30)), "FY2024",
IF(AND(L162&gt;=DATE(2024,7,1), L162&lt;=DATE(2025,6,30)), "FY2025",
IF(AND(L162&gt;=DATE(2025,7,1), L162&lt;=DATE(2026,6,30)), "FY2026",
IF(AND(L162&gt;=DATE(2026,7,1), L162&lt;=DATE(2027,6,30)), "FY2027",
IF(AND(L162&gt;=DATE(2027,7,1), L162&lt;=DATE(2028,6,30)), "FY2028",
IF(AND(L162&gt;=DATE(2028,7,1), L162&lt;=DATE(2029,6,30)), "FY2029","")))))))))</f>
        <v>FY2026</v>
      </c>
      <c r="N162" s="1">
        <v>127</v>
      </c>
      <c r="O162" s="23">
        <v>667360</v>
      </c>
      <c r="P162" s="1" t="s">
        <v>185</v>
      </c>
    </row>
    <row r="163" spans="1:16" s="1" customFormat="1" ht="15" customHeight="1" x14ac:dyDescent="0.25">
      <c r="A163" s="1" t="s">
        <v>29</v>
      </c>
      <c r="B163" s="1" t="s">
        <v>43</v>
      </c>
      <c r="C163" s="1" t="s">
        <v>14</v>
      </c>
      <c r="D163" s="1" t="s">
        <v>106</v>
      </c>
      <c r="E163" s="1" t="s">
        <v>107</v>
      </c>
      <c r="F163" s="8" t="s">
        <v>108</v>
      </c>
      <c r="G163" s="3"/>
      <c r="H163" s="1">
        <v>2</v>
      </c>
      <c r="I163" s="4"/>
      <c r="J163" s="3" t="s">
        <v>27</v>
      </c>
      <c r="K163" s="1" t="s">
        <v>10</v>
      </c>
      <c r="L163" s="22"/>
      <c r="M163" s="1" t="str">
        <f>IF(AND(L163&gt;=DATE(2020,7,1), L163&lt;=DATE(2021,6,30)), "FY2021",
IF(AND(L163&gt;=DATE(2021,7,1), L163&lt;=DATE(2022,6,30)), "FY2022",
IF(AND(L163&gt;=DATE(2022,7,1), L163&lt;=DATE(2023,6,30)), "FY2023",
IF(AND(L163&gt;=DATE(2023,7,1), L163&lt;=DATE(2024,6,30)), "FY2024",
IF(AND(L163&gt;=DATE(2024,7,1), L163&lt;=DATE(2025,6,30)), "FY2025",
IF(AND(L163&gt;=DATE(2025,7,1), L163&lt;=DATE(2026,6,30)), "FY2026",
IF(AND(L163&gt;=DATE(2026,7,1), L163&lt;=DATE(2027,6,30)), "FY2027",
IF(AND(L163&gt;=DATE(2027,7,1), L163&lt;=DATE(2028,6,30)), "FY2028",
IF(AND(L163&gt;=DATE(2028,7,1), L163&lt;=DATE(2029,6,30)), "FY2029","")))))))))</f>
        <v/>
      </c>
      <c r="N163" s="1">
        <v>48</v>
      </c>
      <c r="O163" s="23">
        <v>689026</v>
      </c>
    </row>
    <row r="164" spans="1:16" s="1" customFormat="1" ht="15" customHeight="1" x14ac:dyDescent="0.25">
      <c r="A164" s="1" t="s">
        <v>29</v>
      </c>
      <c r="B164" s="1" t="s">
        <v>43</v>
      </c>
      <c r="C164" s="1" t="s">
        <v>14</v>
      </c>
      <c r="D164" s="1" t="s">
        <v>259</v>
      </c>
      <c r="E164" s="1" t="s">
        <v>260</v>
      </c>
      <c r="F164" s="8" t="s">
        <v>261</v>
      </c>
      <c r="G164" s="3"/>
      <c r="H164" s="4">
        <v>3</v>
      </c>
      <c r="I164" s="4"/>
      <c r="J164" s="3" t="s">
        <v>27</v>
      </c>
      <c r="K164" s="1" t="s">
        <v>22</v>
      </c>
      <c r="L164" s="22">
        <v>46007</v>
      </c>
      <c r="M164" s="1" t="str">
        <f>IF(AND(L164&gt;=DATE(2020,7,1), L164&lt;=DATE(2021,6,30)), "FY2021",
IF(AND(L164&gt;=DATE(2021,7,1), L164&lt;=DATE(2022,6,30)), "FY2022",
IF(AND(L164&gt;=DATE(2022,7,1), L164&lt;=DATE(2023,6,30)), "FY2023",
IF(AND(L164&gt;=DATE(2023,7,1), L164&lt;=DATE(2024,6,30)), "FY2024",
IF(AND(L164&gt;=DATE(2024,7,1), L164&lt;=DATE(2025,6,30)), "FY2025",
IF(AND(L164&gt;=DATE(2025,7,1), L164&lt;=DATE(2026,6,30)), "FY2026",
IF(AND(L164&gt;=DATE(2026,7,1), L164&lt;=DATE(2027,6,30)), "FY2027",
IF(AND(L164&gt;=DATE(2027,7,1), L164&lt;=DATE(2028,6,30)), "FY2028",
IF(AND(L164&gt;=DATE(2028,7,1), L164&lt;=DATE(2029,6,30)), "FY2029","")))))))))</f>
        <v>FY2026</v>
      </c>
      <c r="N164" s="1">
        <v>78</v>
      </c>
      <c r="O164" s="23">
        <v>760000</v>
      </c>
      <c r="P164" s="1" t="s">
        <v>11</v>
      </c>
    </row>
    <row r="165" spans="1:16" s="1" customFormat="1" ht="15" customHeight="1" x14ac:dyDescent="0.25">
      <c r="A165" s="1" t="s">
        <v>29</v>
      </c>
      <c r="B165" s="1" t="s">
        <v>43</v>
      </c>
      <c r="C165" s="1" t="s">
        <v>14</v>
      </c>
      <c r="D165" s="1" t="s">
        <v>262</v>
      </c>
      <c r="E165" s="1" t="s">
        <v>263</v>
      </c>
      <c r="F165" s="8" t="s">
        <v>263</v>
      </c>
      <c r="G165" s="3"/>
      <c r="H165" s="1">
        <v>6</v>
      </c>
      <c r="I165" s="4"/>
      <c r="J165" s="3" t="s">
        <v>27</v>
      </c>
      <c r="K165" s="1" t="s">
        <v>16</v>
      </c>
      <c r="L165" s="22">
        <v>46447</v>
      </c>
      <c r="M165" s="1" t="str">
        <f>IF(AND(L165&gt;=DATE(2020,7,1), L165&lt;=DATE(2021,6,30)), "FY2021",
IF(AND(L165&gt;=DATE(2021,7,1), L165&lt;=DATE(2022,6,30)), "FY2022",
IF(AND(L165&gt;=DATE(2022,7,1), L165&lt;=DATE(2023,6,30)), "FY2023",
IF(AND(L165&gt;=DATE(2023,7,1), L165&lt;=DATE(2024,6,30)), "FY2024",
IF(AND(L165&gt;=DATE(2024,7,1), L165&lt;=DATE(2025,6,30)), "FY2025",
IF(AND(L165&gt;=DATE(2025,7,1), L165&lt;=DATE(2026,6,30)), "FY2026",
IF(AND(L165&gt;=DATE(2026,7,1), L165&lt;=DATE(2027,6,30)), "FY2027",
IF(AND(L165&gt;=DATE(2027,7,1), L165&lt;=DATE(2028,6,30)), "FY2028",
IF(AND(L165&gt;=DATE(2028,7,1), L165&lt;=DATE(2029,6,30)), "FY2029","")))))))))</f>
        <v>FY2027</v>
      </c>
      <c r="N165" s="1">
        <v>80</v>
      </c>
      <c r="O165" s="23">
        <v>900000</v>
      </c>
      <c r="P165" s="1" t="s">
        <v>11</v>
      </c>
    </row>
    <row r="166" spans="1:16" s="1" customFormat="1" ht="15" customHeight="1" x14ac:dyDescent="0.25">
      <c r="A166" s="1" t="s">
        <v>29</v>
      </c>
      <c r="B166" s="1" t="s">
        <v>43</v>
      </c>
      <c r="C166" s="1" t="s">
        <v>14</v>
      </c>
      <c r="D166" s="1" t="s">
        <v>128</v>
      </c>
      <c r="E166" s="1" t="s">
        <v>129</v>
      </c>
      <c r="F166" s="8" t="s">
        <v>129</v>
      </c>
      <c r="G166" s="3"/>
      <c r="H166" s="1">
        <v>6</v>
      </c>
      <c r="I166" s="4"/>
      <c r="J166" s="3" t="s">
        <v>27</v>
      </c>
      <c r="K166" s="1" t="s">
        <v>10</v>
      </c>
      <c r="M166" s="1" t="s">
        <v>38</v>
      </c>
      <c r="N166" s="1">
        <v>77</v>
      </c>
      <c r="O166" s="23">
        <v>1000000</v>
      </c>
    </row>
    <row r="167" spans="1:16" s="1" customFormat="1" ht="15" customHeight="1" x14ac:dyDescent="0.25">
      <c r="A167" s="1" t="s">
        <v>29</v>
      </c>
      <c r="B167" s="1" t="s">
        <v>43</v>
      </c>
      <c r="C167" s="1" t="s">
        <v>14</v>
      </c>
      <c r="D167" s="1" t="s">
        <v>114</v>
      </c>
      <c r="E167" s="1" t="s">
        <v>115</v>
      </c>
      <c r="F167" s="8" t="s">
        <v>116</v>
      </c>
      <c r="G167" s="3"/>
      <c r="H167" s="1">
        <v>2</v>
      </c>
      <c r="I167" s="4"/>
      <c r="J167" s="3" t="s">
        <v>27</v>
      </c>
      <c r="K167" s="1" t="s">
        <v>10</v>
      </c>
      <c r="M167" s="1" t="s">
        <v>38</v>
      </c>
      <c r="N167" s="1">
        <v>50</v>
      </c>
      <c r="O167" s="23">
        <v>1000000</v>
      </c>
    </row>
    <row r="168" spans="1:16" s="1" customFormat="1" x14ac:dyDescent="0.25">
      <c r="A168" s="1" t="s">
        <v>29</v>
      </c>
      <c r="B168" s="1" t="s">
        <v>43</v>
      </c>
      <c r="C168" s="1" t="s">
        <v>14</v>
      </c>
      <c r="D168" s="1" t="s">
        <v>264</v>
      </c>
      <c r="E168" s="1" t="s">
        <v>265</v>
      </c>
      <c r="F168" s="8" t="s">
        <v>266</v>
      </c>
      <c r="G168" s="3"/>
      <c r="H168" s="1">
        <v>8</v>
      </c>
      <c r="I168" s="4"/>
      <c r="J168" s="3" t="s">
        <v>27</v>
      </c>
      <c r="K168" s="1" t="s">
        <v>16</v>
      </c>
      <c r="L168" s="22">
        <v>46296</v>
      </c>
      <c r="M168" s="1" t="str">
        <f>IF(AND(L168&gt;=DATE(2020,7,1), L168&lt;=DATE(2021,6,30)), "FY2021",
IF(AND(L168&gt;=DATE(2021,7,1), L168&lt;=DATE(2022,6,30)), "FY2022",
IF(AND(L168&gt;=DATE(2022,7,1), L168&lt;=DATE(2023,6,30)), "FY2023",
IF(AND(L168&gt;=DATE(2023,7,1), L168&lt;=DATE(2024,6,30)), "FY2024",
IF(AND(L168&gt;=DATE(2024,7,1), L168&lt;=DATE(2025,6,30)), "FY2025",
IF(AND(L168&gt;=DATE(2025,7,1), L168&lt;=DATE(2026,6,30)), "FY2026",
IF(AND(L168&gt;=DATE(2026,7,1), L168&lt;=DATE(2027,6,30)), "FY2027",
IF(AND(L168&gt;=DATE(2027,7,1), L168&lt;=DATE(2028,6,30)), "FY2028",
IF(AND(L168&gt;=DATE(2028,7,1), L168&lt;=DATE(2029,6,30)), "FY2029","")))))))))</f>
        <v>FY2027</v>
      </c>
      <c r="N168" s="1">
        <v>90</v>
      </c>
      <c r="O168" s="23">
        <v>1040000</v>
      </c>
      <c r="P168" s="1" t="s">
        <v>11</v>
      </c>
    </row>
    <row r="169" spans="1:16" s="1" customFormat="1" ht="15" customHeight="1" x14ac:dyDescent="0.25">
      <c r="A169" s="1" t="s">
        <v>29</v>
      </c>
      <c r="B169" s="1" t="s">
        <v>43</v>
      </c>
      <c r="C169" s="1" t="s">
        <v>14</v>
      </c>
      <c r="D169" s="1" t="s">
        <v>267</v>
      </c>
      <c r="E169" s="1" t="s">
        <v>268</v>
      </c>
      <c r="F169" s="8" t="s">
        <v>269</v>
      </c>
      <c r="G169" s="3"/>
      <c r="H169" s="1">
        <v>5</v>
      </c>
      <c r="I169" s="4"/>
      <c r="J169" s="3" t="s">
        <v>27</v>
      </c>
      <c r="K169" s="1" t="s">
        <v>10</v>
      </c>
      <c r="M169" s="1" t="s">
        <v>38</v>
      </c>
      <c r="N169" s="1">
        <v>246</v>
      </c>
      <c r="O169" s="23">
        <v>1500000</v>
      </c>
      <c r="P169" s="1" t="s">
        <v>11</v>
      </c>
    </row>
    <row r="170" spans="1:16" s="1" customFormat="1" ht="15" customHeight="1" x14ac:dyDescent="0.25">
      <c r="A170" s="1" t="s">
        <v>29</v>
      </c>
      <c r="B170" s="1" t="s">
        <v>43</v>
      </c>
      <c r="C170" s="1" t="s">
        <v>14</v>
      </c>
      <c r="D170" s="1" t="s">
        <v>119</v>
      </c>
      <c r="E170" s="1" t="s">
        <v>120</v>
      </c>
      <c r="F170" s="8" t="s">
        <v>108</v>
      </c>
      <c r="G170" s="3"/>
      <c r="H170" s="1">
        <v>6</v>
      </c>
      <c r="I170" s="4"/>
      <c r="J170" s="3" t="s">
        <v>27</v>
      </c>
      <c r="K170" s="1" t="s">
        <v>10</v>
      </c>
      <c r="M170" s="1" t="s">
        <v>38</v>
      </c>
      <c r="N170" s="1">
        <v>50</v>
      </c>
      <c r="O170" s="23">
        <v>1500000</v>
      </c>
    </row>
    <row r="171" spans="1:16" s="1" customFormat="1" ht="15" customHeight="1" x14ac:dyDescent="0.25">
      <c r="A171" s="1" t="s">
        <v>29</v>
      </c>
      <c r="B171" s="1" t="s">
        <v>43</v>
      </c>
      <c r="C171" s="1" t="s">
        <v>14</v>
      </c>
      <c r="D171" s="1" t="s">
        <v>162</v>
      </c>
      <c r="E171" s="1" t="s">
        <v>163</v>
      </c>
      <c r="F171" s="8" t="s">
        <v>164</v>
      </c>
      <c r="G171" s="3"/>
      <c r="H171" s="26">
        <v>9</v>
      </c>
      <c r="I171" s="4"/>
      <c r="J171" s="3" t="s">
        <v>27</v>
      </c>
      <c r="K171" s="1" t="s">
        <v>16</v>
      </c>
      <c r="L171" s="22">
        <v>46539</v>
      </c>
      <c r="M171" s="1" t="str">
        <f>IF(AND(L171&gt;=DATE(2020,7,1), L171&lt;=DATE(2021,6,30)), "FY2021",
IF(AND(L171&gt;=DATE(2021,7,1), L171&lt;=DATE(2022,6,30)), "FY2022",
IF(AND(L171&gt;=DATE(2022,7,1), L171&lt;=DATE(2023,6,30)), "FY2023",
IF(AND(L171&gt;=DATE(2023,7,1), L171&lt;=DATE(2024,6,30)), "FY2024",
IF(AND(L171&gt;=DATE(2024,7,1), L171&lt;=DATE(2025,6,30)), "FY2025",
IF(AND(L171&gt;=DATE(2025,7,1), L171&lt;=DATE(2026,6,30)), "FY2026",
IF(AND(L171&gt;=DATE(2026,7,1), L171&lt;=DATE(2027,6,30)), "FY2027",
IF(AND(L171&gt;=DATE(2027,7,1), L171&lt;=DATE(2028,6,30)), "FY2028",
IF(AND(L171&gt;=DATE(2028,7,1), L171&lt;=DATE(2029,6,30)), "FY2029","")))))))))</f>
        <v>FY2027</v>
      </c>
      <c r="N171" s="1">
        <v>182</v>
      </c>
      <c r="O171" s="23">
        <v>2000000</v>
      </c>
    </row>
    <row r="172" spans="1:16" s="1" customFormat="1" ht="15" customHeight="1" x14ac:dyDescent="0.25">
      <c r="A172" s="1" t="s">
        <v>34</v>
      </c>
      <c r="B172" s="1" t="s">
        <v>43</v>
      </c>
      <c r="D172" s="1" t="s">
        <v>240</v>
      </c>
      <c r="E172" s="1" t="s">
        <v>241</v>
      </c>
      <c r="F172" s="10" t="s">
        <v>452</v>
      </c>
      <c r="G172" s="3"/>
      <c r="H172" s="1">
        <v>8</v>
      </c>
      <c r="I172" s="4"/>
      <c r="J172" s="3" t="s">
        <v>27</v>
      </c>
      <c r="K172" s="1" t="s">
        <v>10</v>
      </c>
      <c r="L172" s="22"/>
      <c r="M172" s="1" t="s">
        <v>42</v>
      </c>
      <c r="N172" s="1">
        <v>66</v>
      </c>
      <c r="O172" s="43">
        <v>1510000</v>
      </c>
    </row>
    <row r="173" spans="1:16" s="1" customFormat="1" ht="15" customHeight="1" x14ac:dyDescent="0.25">
      <c r="A173" s="1" t="s">
        <v>34</v>
      </c>
      <c r="B173" s="1" t="s">
        <v>43</v>
      </c>
      <c r="D173" s="1" t="s">
        <v>240</v>
      </c>
      <c r="E173" s="1" t="s">
        <v>242</v>
      </c>
      <c r="F173" s="50" t="s">
        <v>452</v>
      </c>
      <c r="G173" s="3"/>
      <c r="H173" s="1">
        <v>8</v>
      </c>
      <c r="I173" s="4"/>
      <c r="J173" s="3" t="s">
        <v>27</v>
      </c>
      <c r="K173" s="1" t="s">
        <v>10</v>
      </c>
      <c r="L173" s="22"/>
      <c r="M173" s="1" t="s">
        <v>42</v>
      </c>
      <c r="N173" s="1">
        <v>66</v>
      </c>
      <c r="O173" s="43">
        <v>825000</v>
      </c>
    </row>
    <row r="174" spans="1:16" s="1" customFormat="1" ht="15" customHeight="1" x14ac:dyDescent="0.25">
      <c r="A174" s="1" t="s">
        <v>34</v>
      </c>
      <c r="B174" s="1" t="s">
        <v>43</v>
      </c>
      <c r="D174" s="1" t="s">
        <v>240</v>
      </c>
      <c r="E174" s="1" t="s">
        <v>243</v>
      </c>
      <c r="F174" s="50" t="s">
        <v>452</v>
      </c>
      <c r="G174" s="3"/>
      <c r="H174" s="1">
        <v>8</v>
      </c>
      <c r="I174" s="4"/>
      <c r="J174" s="3" t="s">
        <v>27</v>
      </c>
      <c r="K174" s="1" t="s">
        <v>10</v>
      </c>
      <c r="L174" s="22"/>
      <c r="M174" s="1" t="s">
        <v>42</v>
      </c>
      <c r="N174" s="1">
        <v>66</v>
      </c>
      <c r="O174" s="43">
        <v>1280000</v>
      </c>
    </row>
    <row r="175" spans="1:16" s="1" customFormat="1" ht="15" customHeight="1" x14ac:dyDescent="0.25">
      <c r="A175" s="1" t="s">
        <v>34</v>
      </c>
      <c r="B175" s="1" t="s">
        <v>43</v>
      </c>
      <c r="D175" s="1" t="s">
        <v>240</v>
      </c>
      <c r="E175" s="1" t="s">
        <v>244</v>
      </c>
      <c r="F175" s="50" t="s">
        <v>452</v>
      </c>
      <c r="G175" s="3"/>
      <c r="H175" s="1">
        <v>8</v>
      </c>
      <c r="I175" s="4"/>
      <c r="J175" s="3" t="s">
        <v>27</v>
      </c>
      <c r="K175" s="1" t="s">
        <v>10</v>
      </c>
      <c r="L175" s="22"/>
      <c r="M175" s="1" t="s">
        <v>42</v>
      </c>
      <c r="N175" s="1">
        <v>66</v>
      </c>
      <c r="O175" s="43">
        <v>800000</v>
      </c>
    </row>
    <row r="176" spans="1:16" s="1" customFormat="1" ht="15" customHeight="1" x14ac:dyDescent="0.25">
      <c r="A176" s="1" t="s">
        <v>34</v>
      </c>
      <c r="B176" s="1" t="s">
        <v>43</v>
      </c>
      <c r="D176" s="3" t="s">
        <v>245</v>
      </c>
      <c r="E176" s="1" t="s">
        <v>246</v>
      </c>
      <c r="F176" s="10" t="s">
        <v>453</v>
      </c>
      <c r="G176" s="3"/>
      <c r="H176" s="1">
        <v>9</v>
      </c>
      <c r="I176" s="4"/>
      <c r="J176" s="3" t="s">
        <v>27</v>
      </c>
      <c r="K176" s="1" t="s">
        <v>10</v>
      </c>
      <c r="L176" s="22"/>
      <c r="M176" s="1" t="s">
        <v>42</v>
      </c>
      <c r="N176" s="1">
        <v>234</v>
      </c>
      <c r="O176" s="43">
        <v>3000000</v>
      </c>
    </row>
    <row r="177" spans="4:14" x14ac:dyDescent="0.25">
      <c r="D177" s="10"/>
      <c r="E177" s="10"/>
      <c r="F177" s="10"/>
      <c r="G177" s="10"/>
      <c r="H177" s="10"/>
      <c r="I177" s="10"/>
      <c r="J177" s="10"/>
      <c r="L177" s="11"/>
      <c r="M177" s="8" t="str">
        <f t="shared" ref="M177:M193" si="8">IF(AND(L177&gt;=DATE(2020,7,1), L177&lt;=DATE(2021,6,30)), "FY2021",
IF(AND(L177&gt;=DATE(2021,7,1), L177&lt;=DATE(2022,6,30)), "FY2022",
IF(AND(L177&gt;=DATE(2022,7,1), L177&lt;=DATE(2023,6,30)), "FY2023",
IF(AND(L177&gt;=DATE(2023,7,1), L177&lt;=DATE(2024,6,30)), "FY2024",
IF(AND(L177&gt;=DATE(2024,7,1), L177&lt;=DATE(2025,6,30)), "FY2025",
IF(AND(L177&gt;=DATE(2025,7,1), L177&lt;=DATE(2026,6,30)), "FY2026",
IF(AND(L177&gt;=DATE(2026,7,1), L177&lt;=DATE(2027,6,30)), "FY2027",
IF(AND(L177&gt;=DATE(2027,7,1), L177&lt;=DATE(2028,6,30)), "FY2028",
IF(AND(L177&gt;=DATE(2028,7,1), L177&lt;=DATE(2029,6,30)), "FY2029","")))))))))</f>
        <v/>
      </c>
      <c r="N177" s="18"/>
    </row>
    <row r="178" spans="4:14" x14ac:dyDescent="0.25">
      <c r="D178" s="10"/>
      <c r="E178" s="10"/>
      <c r="F178" s="10"/>
      <c r="G178" s="10"/>
      <c r="H178" s="10"/>
      <c r="I178" s="10"/>
      <c r="J178" s="10"/>
      <c r="L178" s="11"/>
      <c r="M178" s="8" t="str">
        <f t="shared" si="8"/>
        <v/>
      </c>
      <c r="N178" s="18"/>
    </row>
    <row r="179" spans="4:14" x14ac:dyDescent="0.25">
      <c r="D179" s="10"/>
      <c r="E179" s="10"/>
      <c r="F179" s="10"/>
      <c r="G179" s="10"/>
      <c r="H179" s="10"/>
      <c r="I179" s="10"/>
      <c r="J179" s="10"/>
      <c r="L179" s="11"/>
      <c r="M179" s="8" t="str">
        <f t="shared" si="8"/>
        <v/>
      </c>
      <c r="N179" s="18"/>
    </row>
    <row r="180" spans="4:14" x14ac:dyDescent="0.25">
      <c r="D180" s="10"/>
      <c r="E180" s="10"/>
      <c r="F180" s="10"/>
      <c r="G180" s="10"/>
      <c r="H180" s="10"/>
      <c r="I180" s="10"/>
      <c r="J180" s="10"/>
      <c r="L180" s="11"/>
      <c r="M180" s="8" t="str">
        <f t="shared" si="8"/>
        <v/>
      </c>
      <c r="N180" s="18"/>
    </row>
    <row r="181" spans="4:14" x14ac:dyDescent="0.25">
      <c r="D181" s="10"/>
      <c r="E181" s="10"/>
      <c r="F181" s="10"/>
      <c r="G181" s="10"/>
      <c r="H181" s="10"/>
      <c r="I181" s="10"/>
      <c r="J181" s="10"/>
      <c r="L181" s="11"/>
      <c r="M181" s="8" t="str">
        <f t="shared" si="8"/>
        <v/>
      </c>
      <c r="N181" s="18"/>
    </row>
    <row r="182" spans="4:14" x14ac:dyDescent="0.25">
      <c r="D182" s="10"/>
      <c r="E182" s="10"/>
      <c r="F182" s="10"/>
      <c r="G182" s="10"/>
      <c r="H182" s="10"/>
      <c r="I182" s="10"/>
      <c r="J182" s="10"/>
      <c r="L182" s="11"/>
      <c r="M182" s="8" t="str">
        <f t="shared" si="8"/>
        <v/>
      </c>
      <c r="N182" s="18"/>
    </row>
    <row r="183" spans="4:14" x14ac:dyDescent="0.25">
      <c r="D183" s="10"/>
      <c r="E183" s="10"/>
      <c r="F183" s="10"/>
      <c r="G183" s="10"/>
      <c r="H183" s="10"/>
      <c r="I183" s="10"/>
      <c r="J183" s="10"/>
      <c r="L183" s="11"/>
      <c r="M183" s="8" t="str">
        <f t="shared" si="8"/>
        <v/>
      </c>
      <c r="N183" s="18"/>
    </row>
    <row r="184" spans="4:14" x14ac:dyDescent="0.25">
      <c r="D184" s="10"/>
      <c r="E184" s="10"/>
      <c r="F184" s="10"/>
      <c r="G184" s="10"/>
      <c r="H184" s="10"/>
      <c r="I184" s="10"/>
      <c r="J184" s="10"/>
      <c r="L184" s="11"/>
      <c r="M184" s="8" t="str">
        <f t="shared" si="8"/>
        <v/>
      </c>
      <c r="N184" s="18"/>
    </row>
    <row r="185" spans="4:14" x14ac:dyDescent="0.25">
      <c r="D185" s="10"/>
      <c r="E185" s="10"/>
      <c r="F185" s="10"/>
      <c r="G185" s="10"/>
      <c r="H185" s="10"/>
      <c r="I185" s="10"/>
      <c r="J185" s="10"/>
      <c r="L185" s="11"/>
      <c r="M185" s="8" t="str">
        <f t="shared" si="8"/>
        <v/>
      </c>
      <c r="N185" s="18"/>
    </row>
    <row r="186" spans="4:14" x14ac:dyDescent="0.25">
      <c r="D186" s="10"/>
      <c r="E186" s="10"/>
      <c r="F186" s="10"/>
      <c r="G186" s="10"/>
      <c r="H186" s="10"/>
      <c r="I186" s="10"/>
      <c r="J186" s="10"/>
      <c r="L186" s="11"/>
      <c r="M186" s="8" t="str">
        <f t="shared" si="8"/>
        <v/>
      </c>
      <c r="N186" s="18"/>
    </row>
    <row r="187" spans="4:14" x14ac:dyDescent="0.25">
      <c r="D187" s="10"/>
      <c r="E187" s="10"/>
      <c r="F187" s="10"/>
      <c r="G187" s="10"/>
      <c r="H187" s="10"/>
      <c r="I187" s="10"/>
      <c r="J187" s="10"/>
      <c r="L187" s="11"/>
      <c r="M187" s="8" t="str">
        <f t="shared" si="8"/>
        <v/>
      </c>
      <c r="N187" s="18"/>
    </row>
    <row r="188" spans="4:14" x14ac:dyDescent="0.25">
      <c r="D188" s="10"/>
      <c r="E188" s="10"/>
      <c r="F188" s="10"/>
      <c r="G188" s="10"/>
      <c r="H188" s="10"/>
      <c r="I188" s="10"/>
      <c r="J188" s="10"/>
      <c r="L188" s="11"/>
      <c r="M188" s="8" t="str">
        <f t="shared" si="8"/>
        <v/>
      </c>
      <c r="N188" s="18"/>
    </row>
    <row r="189" spans="4:14" x14ac:dyDescent="0.25">
      <c r="D189" s="10"/>
      <c r="E189" s="10"/>
      <c r="F189" s="10"/>
      <c r="G189" s="10"/>
      <c r="H189" s="10"/>
      <c r="I189" s="10"/>
      <c r="J189" s="10"/>
      <c r="L189" s="11"/>
      <c r="M189" s="8" t="str">
        <f t="shared" si="8"/>
        <v/>
      </c>
      <c r="N189" s="18"/>
    </row>
    <row r="190" spans="4:14" x14ac:dyDescent="0.25">
      <c r="D190" s="10"/>
      <c r="E190" s="10"/>
      <c r="F190" s="10"/>
      <c r="G190" s="10"/>
      <c r="H190" s="10"/>
      <c r="I190" s="10"/>
      <c r="J190" s="10"/>
      <c r="L190" s="11"/>
      <c r="M190" s="8" t="str">
        <f t="shared" si="8"/>
        <v/>
      </c>
      <c r="N190" s="18"/>
    </row>
    <row r="191" spans="4:14" x14ac:dyDescent="0.25">
      <c r="D191" s="10"/>
      <c r="E191" s="10"/>
      <c r="F191" s="10"/>
      <c r="G191" s="10"/>
      <c r="H191" s="10"/>
      <c r="I191" s="10"/>
      <c r="J191" s="10"/>
      <c r="L191" s="11"/>
      <c r="M191" s="8" t="str">
        <f t="shared" si="8"/>
        <v/>
      </c>
      <c r="N191" s="18"/>
    </row>
    <row r="192" spans="4:14" x14ac:dyDescent="0.25">
      <c r="D192" s="10"/>
      <c r="E192" s="10"/>
      <c r="F192" s="10"/>
      <c r="G192" s="10"/>
      <c r="H192" s="10"/>
      <c r="I192" s="10"/>
      <c r="J192" s="10"/>
      <c r="L192" s="11"/>
      <c r="M192" s="8" t="str">
        <f t="shared" si="8"/>
        <v/>
      </c>
      <c r="N192" s="18"/>
    </row>
    <row r="193" spans="4:14" x14ac:dyDescent="0.25">
      <c r="D193" s="10"/>
      <c r="E193" s="10"/>
      <c r="F193" s="10"/>
      <c r="G193" s="10"/>
      <c r="H193" s="10"/>
      <c r="I193" s="10"/>
      <c r="J193" s="10"/>
      <c r="L193" s="11"/>
      <c r="M193" s="8" t="str">
        <f t="shared" si="8"/>
        <v/>
      </c>
      <c r="N193" s="18"/>
    </row>
    <row r="194" spans="4:14" x14ac:dyDescent="0.25">
      <c r="D194" s="10"/>
      <c r="E194" s="10"/>
      <c r="F194" s="10"/>
      <c r="G194" s="10"/>
      <c r="H194" s="10"/>
      <c r="I194" s="10"/>
      <c r="J194" s="10"/>
      <c r="L194" s="11"/>
      <c r="M194" s="8" t="str">
        <f t="shared" ref="M194:M199" si="9">IF(AND(L194&gt;=DATE(2020,7,1), L194&lt;=DATE(2021,6,30)), "FY2021",
IF(AND(L194&gt;=DATE(2021,7,1), L194&lt;=DATE(2022,6,30)), "FY2022",
IF(AND(L194&gt;=DATE(2022,7,1), L194&lt;=DATE(2023,6,30)), "FY2023",
IF(AND(L194&gt;=DATE(2023,7,1), L194&lt;=DATE(2024,6,30)), "FY2024",
IF(AND(L194&gt;=DATE(2024,7,1), L194&lt;=DATE(2025,6,30)), "FY2025",
IF(AND(L194&gt;=DATE(2025,7,1), L194&lt;=DATE(2026,6,30)), "FY2026",
IF(AND(L194&gt;=DATE(2026,7,1), L194&lt;=DATE(2027,6,30)), "FY2027",
IF(AND(L194&gt;=DATE(2027,7,1), L194&lt;=DATE(2028,6,30)), "FY2028",
IF(AND(L194&gt;=DATE(2028,7,1), L194&lt;=DATE(2029,6,30)), "FY2029","")))))))))</f>
        <v/>
      </c>
      <c r="N194" s="18"/>
    </row>
    <row r="195" spans="4:14" x14ac:dyDescent="0.25">
      <c r="D195" s="10"/>
      <c r="E195" s="10"/>
      <c r="F195" s="10"/>
      <c r="G195" s="10"/>
      <c r="H195" s="10"/>
      <c r="I195" s="10"/>
      <c r="J195" s="10"/>
      <c r="L195" s="11"/>
      <c r="M195" s="8" t="str">
        <f t="shared" si="9"/>
        <v/>
      </c>
      <c r="N195" s="18"/>
    </row>
    <row r="196" spans="4:14" x14ac:dyDescent="0.25">
      <c r="D196" s="10"/>
      <c r="E196" s="10"/>
      <c r="F196" s="10"/>
      <c r="G196" s="10"/>
      <c r="H196" s="10"/>
      <c r="I196" s="10"/>
      <c r="J196" s="10"/>
      <c r="L196" s="11"/>
      <c r="M196" s="8" t="str">
        <f t="shared" si="9"/>
        <v/>
      </c>
      <c r="N196" s="18"/>
    </row>
    <row r="197" spans="4:14" x14ac:dyDescent="0.25">
      <c r="D197" s="10"/>
      <c r="E197" s="10"/>
      <c r="F197" s="10"/>
      <c r="G197" s="10"/>
      <c r="H197" s="10"/>
      <c r="I197" s="10"/>
      <c r="J197" s="10"/>
      <c r="L197" s="11"/>
      <c r="M197" s="8" t="str">
        <f t="shared" si="9"/>
        <v/>
      </c>
      <c r="N197" s="18"/>
    </row>
    <row r="198" spans="4:14" x14ac:dyDescent="0.25">
      <c r="D198" s="10"/>
      <c r="E198" s="10"/>
      <c r="F198" s="10"/>
      <c r="G198" s="10"/>
      <c r="H198" s="10"/>
      <c r="I198" s="10"/>
      <c r="J198" s="10"/>
      <c r="L198" s="11"/>
      <c r="M198" s="8" t="str">
        <f t="shared" si="9"/>
        <v/>
      </c>
      <c r="N198" s="18"/>
    </row>
    <row r="199" spans="4:14" x14ac:dyDescent="0.25">
      <c r="D199" s="10"/>
      <c r="E199" s="10"/>
      <c r="F199" s="10"/>
      <c r="G199" s="10"/>
      <c r="H199" s="10"/>
      <c r="I199" s="10"/>
      <c r="J199" s="10"/>
      <c r="L199" s="11"/>
      <c r="M199" s="8" t="str">
        <f t="shared" si="9"/>
        <v/>
      </c>
      <c r="N199" s="18"/>
    </row>
  </sheetData>
  <autoFilter ref="A1:Q199" xr:uid="{BF2DC795-AAED-474C-832E-A374F012E91D}"/>
  <sortState xmlns:xlrd2="http://schemas.microsoft.com/office/spreadsheetml/2017/richdata2" ref="A2:Q201">
    <sortCondition ref="A1:A201"/>
  </sortState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A283401-8EA1-4D7A-8056-B4F77CBA58F6}">
          <x14:formula1>
            <xm:f>'References '!$E$2:$E$4</xm:f>
          </x14:formula1>
          <xm:sqref>K1:K35 K37:K42 K44:K1048573</xm:sqref>
        </x14:dataValidation>
        <x14:dataValidation type="list" allowBlank="1" showInputMessage="1" showErrorMessage="1" xr:uid="{84896F30-7192-431B-9CEF-3B7E6CC243E2}">
          <x14:formula1>
            <xm:f>'References '!$B$2:$B$16</xm:f>
          </x14:formula1>
          <xm:sqref>B1:B42 B44:B1048573</xm:sqref>
        </x14:dataValidation>
        <x14:dataValidation type="list" allowBlank="1" showInputMessage="1" showErrorMessage="1" xr:uid="{C2887295-5544-40E5-A47B-A974C7AB655A}">
          <x14:formula1>
            <xm:f>'References '!$C$2:$C$6</xm:f>
          </x14:formula1>
          <xm:sqref>C1:C42 C44:C1048573</xm:sqref>
        </x14:dataValidation>
        <x14:dataValidation type="list" allowBlank="1" showInputMessage="1" showErrorMessage="1" xr:uid="{89873A28-1F8B-4520-A3F3-67C0C253DA9F}">
          <x14:formula1>
            <xm:f>'References '!$D$2:$D$16</xm:f>
          </x14:formula1>
          <xm:sqref>J1:J42 J44:J1048573</xm:sqref>
        </x14:dataValidation>
        <x14:dataValidation type="list" allowBlank="1" showInputMessage="1" showErrorMessage="1" xr:uid="{EC4DC8E1-7946-4AEF-BE8A-8805B2A6663B}">
          <x14:formula1>
            <xm:f>'References '!$A$2:$A$9</xm:f>
          </x14:formula1>
          <xm:sqref>A1:A42 A44:A1048576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F88AD-9765-4B9F-9518-C678010E5DDA}">
  <dimension ref="A1:F29"/>
  <sheetViews>
    <sheetView workbookViewId="0">
      <selection activeCell="D32" sqref="D32"/>
    </sheetView>
  </sheetViews>
  <sheetFormatPr defaultRowHeight="15" x14ac:dyDescent="0.25"/>
  <cols>
    <col min="1" max="1" width="11.140625" bestFit="1" customWidth="1"/>
    <col min="2" max="2" width="41.28515625" bestFit="1" customWidth="1"/>
    <col min="3" max="3" width="17" bestFit="1" customWidth="1"/>
    <col min="4" max="4" width="46.85546875" bestFit="1" customWidth="1"/>
    <col min="5" max="5" width="18.42578125" bestFit="1" customWidth="1"/>
    <col min="6" max="6" width="19.570312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F5" t="s">
        <v>28</v>
      </c>
    </row>
    <row r="6" spans="1:6" x14ac:dyDescent="0.25">
      <c r="A6" t="s">
        <v>29</v>
      </c>
      <c r="B6" t="s">
        <v>30</v>
      </c>
      <c r="C6" t="s">
        <v>31</v>
      </c>
      <c r="D6" t="s">
        <v>32</v>
      </c>
      <c r="F6" t="s">
        <v>33</v>
      </c>
    </row>
    <row r="7" spans="1:6" x14ac:dyDescent="0.25">
      <c r="A7" t="s">
        <v>34</v>
      </c>
      <c r="B7" t="s">
        <v>35</v>
      </c>
      <c r="D7" t="s">
        <v>36</v>
      </c>
      <c r="F7" t="s">
        <v>37</v>
      </c>
    </row>
    <row r="8" spans="1:6" x14ac:dyDescent="0.25">
      <c r="A8" t="s">
        <v>38</v>
      </c>
      <c r="B8" t="s">
        <v>39</v>
      </c>
      <c r="D8" t="s">
        <v>40</v>
      </c>
      <c r="F8" t="s">
        <v>41</v>
      </c>
    </row>
    <row r="9" spans="1:6" x14ac:dyDescent="0.25">
      <c r="A9" t="s">
        <v>42</v>
      </c>
      <c r="B9" t="s">
        <v>43</v>
      </c>
      <c r="D9" t="s">
        <v>44</v>
      </c>
      <c r="F9" t="s">
        <v>45</v>
      </c>
    </row>
    <row r="10" spans="1:6" x14ac:dyDescent="0.25">
      <c r="B10" t="s">
        <v>46</v>
      </c>
      <c r="D10" t="s">
        <v>47</v>
      </c>
      <c r="F10" t="s">
        <v>48</v>
      </c>
    </row>
    <row r="11" spans="1:6" x14ac:dyDescent="0.25">
      <c r="B11" t="s">
        <v>49</v>
      </c>
      <c r="D11" t="s">
        <v>50</v>
      </c>
      <c r="F11" t="s">
        <v>51</v>
      </c>
    </row>
    <row r="12" spans="1:6" x14ac:dyDescent="0.25">
      <c r="B12" t="s">
        <v>52</v>
      </c>
      <c r="D12" t="s">
        <v>53</v>
      </c>
      <c r="F12" t="s">
        <v>54</v>
      </c>
    </row>
    <row r="13" spans="1:6" x14ac:dyDescent="0.25">
      <c r="B13" t="s">
        <v>55</v>
      </c>
      <c r="D13" t="s">
        <v>56</v>
      </c>
      <c r="F13" t="s">
        <v>57</v>
      </c>
    </row>
    <row r="14" spans="1:6" x14ac:dyDescent="0.25">
      <c r="B14" t="s">
        <v>58</v>
      </c>
      <c r="D14" t="s">
        <v>59</v>
      </c>
      <c r="F14" t="s">
        <v>60</v>
      </c>
    </row>
    <row r="15" spans="1:6" x14ac:dyDescent="0.25">
      <c r="B15" t="s">
        <v>61</v>
      </c>
      <c r="D15" t="s">
        <v>62</v>
      </c>
      <c r="F15" t="s">
        <v>63</v>
      </c>
    </row>
    <row r="16" spans="1:6" x14ac:dyDescent="0.25">
      <c r="B16" t="s">
        <v>64</v>
      </c>
      <c r="D16" t="s">
        <v>65</v>
      </c>
      <c r="F16" t="s">
        <v>66</v>
      </c>
    </row>
    <row r="17" spans="2:6" x14ac:dyDescent="0.25">
      <c r="F17" t="s">
        <v>67</v>
      </c>
    </row>
    <row r="18" spans="2:6" x14ac:dyDescent="0.25">
      <c r="F18" t="s">
        <v>68</v>
      </c>
    </row>
    <row r="19" spans="2:6" x14ac:dyDescent="0.25">
      <c r="F19" t="s">
        <v>69</v>
      </c>
    </row>
    <row r="20" spans="2:6" x14ac:dyDescent="0.25">
      <c r="F20" t="s">
        <v>70</v>
      </c>
    </row>
    <row r="21" spans="2:6" x14ac:dyDescent="0.25">
      <c r="F21" t="s">
        <v>71</v>
      </c>
    </row>
    <row r="22" spans="2:6" x14ac:dyDescent="0.25">
      <c r="F22" t="s">
        <v>72</v>
      </c>
    </row>
    <row r="23" spans="2:6" x14ac:dyDescent="0.25">
      <c r="B23" s="5"/>
    </row>
    <row r="24" spans="2:6" x14ac:dyDescent="0.25">
      <c r="B24" s="5"/>
    </row>
    <row r="25" spans="2:6" x14ac:dyDescent="0.25">
      <c r="B25" s="5"/>
    </row>
    <row r="26" spans="2:6" x14ac:dyDescent="0.25">
      <c r="B26" s="6"/>
    </row>
    <row r="27" spans="2:6" x14ac:dyDescent="0.25">
      <c r="B27" s="6"/>
    </row>
    <row r="28" spans="2:6" x14ac:dyDescent="0.25">
      <c r="B28" s="7"/>
    </row>
    <row r="29" spans="2:6" x14ac:dyDescent="0.25">
      <c r="B29" s="7"/>
    </row>
  </sheetData>
  <conditionalFormatting sqref="B19:B39">
    <cfRule type="containsText" dxfId="2" priority="1" operator="containsText" text="Not Started">
      <formula>NOT(ISERROR(SEARCH("Not Started",B19)))</formula>
    </cfRule>
    <cfRule type="containsText" dxfId="1" priority="2" operator="containsText" text="In Progress">
      <formula>NOT(ISERROR(SEARCH("In Progress",B19)))</formula>
    </cfRule>
    <cfRule type="containsText" dxfId="0" priority="3" operator="containsText" text="Complete">
      <formula>NOT(ISERROR(SEARCH("Complete",B19)))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B38:B39 B19:B37" xr:uid="{0446C616-F790-4E69-B999-16630CC87EEC}">
      <formula1>"Complete, In Progress, Not Started"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AffordableHousingProjects</vt:lpstr>
      <vt:lpstr>References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Hightman, Rachel A. - HCD</dc:creator>
  <cp:keywords/>
  <dc:description/>
  <cp:lastModifiedBy>Hightman, Rachel A. - HCD</cp:lastModifiedBy>
  <cp:revision/>
  <dcterms:created xsi:type="dcterms:W3CDTF">2015-06-05T18:17:20Z</dcterms:created>
  <dcterms:modified xsi:type="dcterms:W3CDTF">2026-03-25T14:14:56Z</dcterms:modified>
  <cp:category/>
  <cp:contentStatus/>
</cp:coreProperties>
</file>