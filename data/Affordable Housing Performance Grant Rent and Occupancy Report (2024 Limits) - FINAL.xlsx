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ichmondgov-my.sharepoint.com/personal/rachel_hightman1_rva_gov/Documents/Desktop/AHPG Package/"/>
    </mc:Choice>
  </mc:AlternateContent>
  <xr:revisionPtr revIDLastSave="1" documentId="8_{3295D83E-86C0-401B-826B-42A00A06F741}" xr6:coauthVersionLast="47" xr6:coauthVersionMax="47" xr10:uidLastSave="{8A335B96-4F3B-441F-9B21-16CE9BD0305E}"/>
  <bookViews>
    <workbookView xWindow="28680" yWindow="-120" windowWidth="29040" windowHeight="15720" xr2:uid="{00000000-000D-0000-FFFF-FFFF00000000}"/>
  </bookViews>
  <sheets>
    <sheet name="Instructions" sheetId="1" r:id="rId1"/>
    <sheet name="Rent and Occupancy Report" sheetId="2" r:id="rId2"/>
    <sheet name="Virginia Housing Limits" sheetId="8" r:id="rId3"/>
  </sheets>
  <externalReferences>
    <externalReference r:id="rId4"/>
    <externalReference r:id="rId5"/>
    <externalReference r:id="rId6"/>
  </externalReferences>
  <definedNames>
    <definedName name="_xlnm._FilterDatabase" localSheetId="1" hidden="1">'Rent and Occupancy Report'!$A$22:$W$500</definedName>
    <definedName name="CountyDropDown">'[1]VA Program Limits'!$J$51:INDEX('[1]VA Program Limits'!$J$51:$J$183,COUNTIF('[1]VA Program Limits'!$J$51:$J$183,"?*"))</definedName>
    <definedName name="IncomeTable">'Virginia Housing Limits'!$A$8:$H$15</definedName>
    <definedName name="RentTable">'Virginia Housing Limits'!$B$21:$H$25</definedName>
    <definedName name="SD_D_PL_IncomeTarget_Name" hidden="1">[2]SD_Dropdowns!$DW$2:$DW$6</definedName>
    <definedName name="SD_D_PL_TCUnitMixType_Name" hidden="1">[2]SD_Dropdowns!$DY$2:$DY$18</definedName>
    <definedName name="Sec8Limits">#REF!</definedName>
    <definedName name="VACounty">'[1]VA Program Limits'!$F$51:$F$183</definedName>
    <definedName name="VAMTSP">'[3]MTSP-HERA Limits-HIDE'!$C$1:$GO$136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2" l="1"/>
  <c r="B15" i="2"/>
  <c r="J13" i="2" l="1"/>
  <c r="J9"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23" i="2"/>
  <c r="Q23" i="2" s="1"/>
  <c r="B17" i="2"/>
  <c r="F22" i="1"/>
  <c r="J12" i="2"/>
  <c r="J11" i="2"/>
  <c r="J10" i="2"/>
  <c r="J8" i="2"/>
  <c r="J7" i="2"/>
  <c r="J6" i="2"/>
  <c r="F26" i="1"/>
  <c r="F12" i="2"/>
  <c r="F11" i="2"/>
  <c r="F10" i="2"/>
  <c r="F9" i="2"/>
  <c r="F8" i="2"/>
  <c r="F7" i="2"/>
  <c r="F6" i="2"/>
  <c r="B20" i="1"/>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C8" i="8"/>
  <c r="B8" i="8"/>
  <c r="F13" i="2" l="1"/>
  <c r="B14" i="2"/>
  <c r="T23" i="2"/>
  <c r="U23" i="2" s="1" a="1"/>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B12" i="1"/>
  <c r="B10" i="1"/>
  <c r="U23" i="2" l="1"/>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24" i="2"/>
  <c r="T25" i="2"/>
  <c r="T26" i="2"/>
  <c r="H228" i="2" a="1"/>
  <c r="H228" i="2" s="1"/>
  <c r="I228" i="2" s="1"/>
  <c r="H229" i="2" a="1"/>
  <c r="H229" i="2" s="1"/>
  <c r="I229" i="2" s="1"/>
  <c r="H230" i="2" a="1"/>
  <c r="H230" i="2" s="1"/>
  <c r="I230" i="2" s="1"/>
  <c r="H231" i="2" a="1"/>
  <c r="H231" i="2" s="1"/>
  <c r="H232" i="2" a="1"/>
  <c r="H232" i="2" s="1"/>
  <c r="I232" i="2" s="1"/>
  <c r="H233" i="2" a="1"/>
  <c r="H233" i="2" s="1"/>
  <c r="I233" i="2" s="1"/>
  <c r="H234" i="2" a="1"/>
  <c r="H234" i="2" s="1"/>
  <c r="I234" i="2" s="1"/>
  <c r="H235" i="2" a="1"/>
  <c r="H235" i="2" s="1"/>
  <c r="I235" i="2" s="1"/>
  <c r="H236" i="2" a="1"/>
  <c r="H236" i="2" s="1"/>
  <c r="I236" i="2" s="1"/>
  <c r="H237" i="2" a="1"/>
  <c r="H237" i="2" s="1"/>
  <c r="I237" i="2" s="1"/>
  <c r="H238" i="2" a="1"/>
  <c r="H238" i="2" s="1"/>
  <c r="I238" i="2" s="1"/>
  <c r="H239" i="2" a="1"/>
  <c r="H239" i="2" s="1"/>
  <c r="I239" i="2" s="1"/>
  <c r="H240" i="2" a="1"/>
  <c r="H240" i="2" s="1"/>
  <c r="I240" i="2" s="1"/>
  <c r="H241" i="2" a="1"/>
  <c r="H241" i="2" s="1"/>
  <c r="I241" i="2" s="1"/>
  <c r="H242" i="2" a="1"/>
  <c r="H242" i="2" s="1"/>
  <c r="I242" i="2" s="1"/>
  <c r="H243" i="2" a="1"/>
  <c r="H243" i="2" s="1"/>
  <c r="H244" i="2" a="1"/>
  <c r="H244" i="2" s="1"/>
  <c r="I244" i="2" s="1"/>
  <c r="H245" i="2" a="1"/>
  <c r="H245" i="2" s="1"/>
  <c r="I245" i="2" s="1"/>
  <c r="H246" i="2" a="1"/>
  <c r="H246" i="2" s="1"/>
  <c r="I246" i="2" s="1"/>
  <c r="H247" i="2" a="1"/>
  <c r="H247" i="2" s="1"/>
  <c r="I247" i="2" s="1"/>
  <c r="H248" i="2" a="1"/>
  <c r="H248" i="2" s="1"/>
  <c r="I248" i="2" s="1"/>
  <c r="H249" i="2" a="1"/>
  <c r="H249" i="2" s="1"/>
  <c r="I249" i="2" s="1"/>
  <c r="H250" i="2" a="1"/>
  <c r="H250" i="2" s="1"/>
  <c r="I250" i="2" s="1"/>
  <c r="H251" i="2" a="1"/>
  <c r="H251" i="2" s="1"/>
  <c r="I251" i="2" s="1"/>
  <c r="H252" i="2" a="1"/>
  <c r="H252" i="2" s="1"/>
  <c r="I252" i="2" s="1"/>
  <c r="H253" i="2" a="1"/>
  <c r="H253" i="2" s="1"/>
  <c r="I253" i="2" s="1"/>
  <c r="H254" i="2" a="1"/>
  <c r="H254" i="2" s="1"/>
  <c r="I254" i="2" s="1"/>
  <c r="H255" i="2" a="1"/>
  <c r="H255" i="2" s="1"/>
  <c r="I255" i="2" s="1"/>
  <c r="H256" i="2" a="1"/>
  <c r="H256" i="2" s="1"/>
  <c r="I256" i="2" s="1"/>
  <c r="H257" i="2" a="1"/>
  <c r="H257" i="2" s="1"/>
  <c r="I257" i="2" s="1"/>
  <c r="H258" i="2" a="1"/>
  <c r="H258" i="2" s="1"/>
  <c r="I258" i="2" s="1"/>
  <c r="H259" i="2" a="1"/>
  <c r="H259" i="2" s="1"/>
  <c r="I259" i="2" s="1"/>
  <c r="H260" i="2" a="1"/>
  <c r="H260" i="2" s="1"/>
  <c r="I260" i="2" s="1"/>
  <c r="H261" i="2" a="1"/>
  <c r="H261" i="2" s="1"/>
  <c r="I261" i="2" s="1"/>
  <c r="H262" i="2" a="1"/>
  <c r="H262" i="2" s="1"/>
  <c r="I262" i="2" s="1"/>
  <c r="H263" i="2" a="1"/>
  <c r="H263" i="2" s="1"/>
  <c r="I263" i="2" s="1"/>
  <c r="H264" i="2" a="1"/>
  <c r="H264" i="2" s="1"/>
  <c r="I264" i="2" s="1"/>
  <c r="H265" i="2" a="1"/>
  <c r="H265" i="2" s="1"/>
  <c r="I265" i="2" s="1"/>
  <c r="H266" i="2" a="1"/>
  <c r="H266" i="2" s="1"/>
  <c r="I266" i="2" s="1"/>
  <c r="H267" i="2" a="1"/>
  <c r="H267" i="2" s="1"/>
  <c r="I267" i="2" s="1"/>
  <c r="H268" i="2" a="1"/>
  <c r="H268" i="2" s="1"/>
  <c r="I268" i="2" s="1"/>
  <c r="H269" i="2" a="1"/>
  <c r="H269" i="2" s="1"/>
  <c r="H270" i="2" a="1"/>
  <c r="H270" i="2" s="1"/>
  <c r="I270" i="2" s="1"/>
  <c r="H271" i="2" a="1"/>
  <c r="H271" i="2" s="1"/>
  <c r="I271" i="2" s="1"/>
  <c r="H272" i="2" a="1"/>
  <c r="H272" i="2" s="1"/>
  <c r="I272" i="2" s="1"/>
  <c r="H273" i="2" a="1"/>
  <c r="H273" i="2" s="1"/>
  <c r="I273" i="2" s="1"/>
  <c r="H274" i="2" a="1"/>
  <c r="H274" i="2" s="1"/>
  <c r="I274" i="2" s="1"/>
  <c r="H275" i="2" a="1"/>
  <c r="H275" i="2" s="1"/>
  <c r="I275" i="2" s="1"/>
  <c r="H276" i="2" a="1"/>
  <c r="H276" i="2" s="1"/>
  <c r="I276" i="2" s="1"/>
  <c r="H277" i="2" a="1"/>
  <c r="H277" i="2" s="1"/>
  <c r="I277" i="2" s="1"/>
  <c r="H278" i="2" a="1"/>
  <c r="H278" i="2" s="1"/>
  <c r="I278" i="2" s="1"/>
  <c r="H279" i="2" a="1"/>
  <c r="H279" i="2" s="1"/>
  <c r="I279" i="2" s="1"/>
  <c r="H280" i="2" a="1"/>
  <c r="H280" i="2" s="1"/>
  <c r="I280" i="2" s="1"/>
  <c r="H281" i="2" a="1"/>
  <c r="H281" i="2" s="1"/>
  <c r="I281" i="2" s="1"/>
  <c r="H282" i="2" a="1"/>
  <c r="H282" i="2" s="1"/>
  <c r="H283" i="2" a="1"/>
  <c r="H283" i="2" s="1"/>
  <c r="I283" i="2" s="1"/>
  <c r="H284" i="2" a="1"/>
  <c r="H284" i="2" s="1"/>
  <c r="I284" i="2" s="1"/>
  <c r="H285" i="2" a="1"/>
  <c r="H285" i="2" s="1"/>
  <c r="I285" i="2" s="1"/>
  <c r="H286" i="2" a="1"/>
  <c r="H286" i="2" s="1"/>
  <c r="I286" i="2" s="1"/>
  <c r="H287" i="2" a="1"/>
  <c r="H287" i="2" s="1"/>
  <c r="I287" i="2" s="1"/>
  <c r="H288" i="2" a="1"/>
  <c r="H288" i="2" s="1"/>
  <c r="I288" i="2" s="1"/>
  <c r="H289" i="2" a="1"/>
  <c r="H289" i="2" s="1"/>
  <c r="I289" i="2" s="1"/>
  <c r="H290" i="2" a="1"/>
  <c r="H290" i="2" s="1"/>
  <c r="I290" i="2" s="1"/>
  <c r="H291" i="2" a="1"/>
  <c r="H291" i="2" s="1"/>
  <c r="I291" i="2" s="1"/>
  <c r="H292" i="2" a="1"/>
  <c r="H292" i="2" s="1"/>
  <c r="I292" i="2" s="1"/>
  <c r="H293" i="2" a="1"/>
  <c r="H293" i="2" s="1"/>
  <c r="I293" i="2" s="1"/>
  <c r="H294" i="2" a="1"/>
  <c r="H294" i="2" s="1"/>
  <c r="I294" i="2" s="1"/>
  <c r="H295" i="2" a="1"/>
  <c r="H295" i="2" s="1"/>
  <c r="I295" i="2" s="1"/>
  <c r="H296" i="2" a="1"/>
  <c r="H296" i="2" s="1"/>
  <c r="I296" i="2" s="1"/>
  <c r="H297" i="2" a="1"/>
  <c r="H297" i="2" s="1"/>
  <c r="I297" i="2" s="1"/>
  <c r="H298" i="2" a="1"/>
  <c r="H298" i="2" s="1"/>
  <c r="I298" i="2" s="1"/>
  <c r="H299" i="2" a="1"/>
  <c r="H299" i="2" s="1"/>
  <c r="I299" i="2" s="1"/>
  <c r="H300" i="2" a="1"/>
  <c r="H300" i="2" s="1"/>
  <c r="I300" i="2" s="1"/>
  <c r="H301" i="2" a="1"/>
  <c r="H301" i="2" s="1"/>
  <c r="I301" i="2" s="1"/>
  <c r="H302" i="2" a="1"/>
  <c r="H302" i="2" s="1"/>
  <c r="I302" i="2" s="1"/>
  <c r="H303" i="2" a="1"/>
  <c r="H303" i="2" s="1"/>
  <c r="I303" i="2" s="1"/>
  <c r="H304" i="2" a="1"/>
  <c r="H304" i="2" s="1"/>
  <c r="I304" i="2" s="1"/>
  <c r="H305" i="2" a="1"/>
  <c r="H305" i="2" s="1"/>
  <c r="I305" i="2" s="1"/>
  <c r="H306" i="2" a="1"/>
  <c r="H306" i="2" s="1"/>
  <c r="I306" i="2" s="1"/>
  <c r="H307" i="2" a="1"/>
  <c r="H307" i="2" s="1"/>
  <c r="I307" i="2" s="1"/>
  <c r="H308" i="2" a="1"/>
  <c r="H308" i="2" s="1"/>
  <c r="I308" i="2" s="1"/>
  <c r="H309" i="2" a="1"/>
  <c r="H309" i="2" s="1"/>
  <c r="I309" i="2" s="1"/>
  <c r="H310" i="2" a="1"/>
  <c r="H310" i="2" s="1"/>
  <c r="I310" i="2" s="1"/>
  <c r="H311" i="2" a="1"/>
  <c r="H311" i="2" s="1"/>
  <c r="I311" i="2" s="1"/>
  <c r="H312" i="2" a="1"/>
  <c r="H312" i="2" s="1"/>
  <c r="I312" i="2" s="1"/>
  <c r="H313" i="2" a="1"/>
  <c r="H313" i="2" s="1"/>
  <c r="I313" i="2" s="1"/>
  <c r="H314" i="2" a="1"/>
  <c r="H314" i="2" s="1"/>
  <c r="I314" i="2" s="1"/>
  <c r="H315" i="2" a="1"/>
  <c r="H315" i="2" s="1"/>
  <c r="I315" i="2" s="1"/>
  <c r="H316" i="2" a="1"/>
  <c r="H316" i="2" s="1"/>
  <c r="I316" i="2" s="1"/>
  <c r="H317" i="2" a="1"/>
  <c r="H317" i="2" s="1"/>
  <c r="I317" i="2" s="1"/>
  <c r="H318" i="2" a="1"/>
  <c r="H318" i="2" s="1"/>
  <c r="I318" i="2" s="1"/>
  <c r="H319" i="2" a="1"/>
  <c r="H319" i="2" s="1"/>
  <c r="I319" i="2" s="1"/>
  <c r="H320" i="2" a="1"/>
  <c r="H320" i="2" s="1"/>
  <c r="I320" i="2" s="1"/>
  <c r="H321" i="2" a="1"/>
  <c r="H321" i="2" s="1"/>
  <c r="I321" i="2" s="1"/>
  <c r="H322" i="2" a="1"/>
  <c r="H322" i="2" s="1"/>
  <c r="I322" i="2" s="1"/>
  <c r="H323" i="2" a="1"/>
  <c r="H323" i="2" s="1"/>
  <c r="I323" i="2" s="1"/>
  <c r="H324" i="2" a="1"/>
  <c r="H324" i="2" s="1"/>
  <c r="I324" i="2" s="1"/>
  <c r="H325" i="2" a="1"/>
  <c r="H325" i="2" s="1"/>
  <c r="I325" i="2" s="1"/>
  <c r="H326" i="2" a="1"/>
  <c r="H326" i="2" s="1"/>
  <c r="I326" i="2" s="1"/>
  <c r="H327" i="2" a="1"/>
  <c r="H327" i="2" s="1"/>
  <c r="I327" i="2" s="1"/>
  <c r="H328" i="2" a="1"/>
  <c r="H328" i="2" s="1"/>
  <c r="I328" i="2" s="1"/>
  <c r="H329" i="2" a="1"/>
  <c r="H329" i="2" s="1"/>
  <c r="I329" i="2" s="1"/>
  <c r="H330" i="2" a="1"/>
  <c r="H330" i="2" s="1"/>
  <c r="I330" i="2" s="1"/>
  <c r="H331" i="2" a="1"/>
  <c r="H331" i="2" s="1"/>
  <c r="I331" i="2" s="1"/>
  <c r="H332" i="2" a="1"/>
  <c r="H332" i="2" s="1"/>
  <c r="I332" i="2" s="1"/>
  <c r="H333" i="2" a="1"/>
  <c r="H333" i="2" s="1"/>
  <c r="I333" i="2" s="1"/>
  <c r="H334" i="2" a="1"/>
  <c r="H334" i="2" s="1"/>
  <c r="I334" i="2" s="1"/>
  <c r="H335" i="2" a="1"/>
  <c r="H335" i="2" s="1"/>
  <c r="I335" i="2" s="1"/>
  <c r="H336" i="2" a="1"/>
  <c r="H336" i="2" s="1"/>
  <c r="I336" i="2" s="1"/>
  <c r="H337" i="2" a="1"/>
  <c r="H337" i="2" s="1"/>
  <c r="I337" i="2" s="1"/>
  <c r="H338" i="2" a="1"/>
  <c r="H338" i="2" s="1"/>
  <c r="I338" i="2" s="1"/>
  <c r="H339" i="2" a="1"/>
  <c r="H339" i="2" s="1"/>
  <c r="I339" i="2" s="1"/>
  <c r="H340" i="2" a="1"/>
  <c r="H340" i="2" s="1"/>
  <c r="I340" i="2" s="1"/>
  <c r="H341" i="2" a="1"/>
  <c r="H341" i="2" s="1"/>
  <c r="I341" i="2" s="1"/>
  <c r="H342" i="2" a="1"/>
  <c r="H342" i="2" s="1"/>
  <c r="I342" i="2" s="1"/>
  <c r="H343" i="2" a="1"/>
  <c r="H343" i="2" s="1"/>
  <c r="I343" i="2" s="1"/>
  <c r="H344" i="2" a="1"/>
  <c r="H344" i="2" s="1"/>
  <c r="I344" i="2" s="1"/>
  <c r="H345" i="2" a="1"/>
  <c r="H345" i="2" s="1"/>
  <c r="I345" i="2" s="1"/>
  <c r="H346" i="2" a="1"/>
  <c r="H346" i="2" s="1"/>
  <c r="I346" i="2" s="1"/>
  <c r="H347" i="2" a="1"/>
  <c r="H347" i="2" s="1"/>
  <c r="I347" i="2" s="1"/>
  <c r="H348" i="2" a="1"/>
  <c r="H348" i="2" s="1"/>
  <c r="I348" i="2" s="1"/>
  <c r="H349" i="2" a="1"/>
  <c r="H349" i="2" s="1"/>
  <c r="I349" i="2" s="1"/>
  <c r="H350" i="2" a="1"/>
  <c r="H350" i="2" s="1"/>
  <c r="I350" i="2" s="1"/>
  <c r="H351" i="2" a="1"/>
  <c r="H351" i="2" s="1"/>
  <c r="I351" i="2" s="1"/>
  <c r="H352" i="2" a="1"/>
  <c r="H352" i="2" s="1"/>
  <c r="I352" i="2" s="1"/>
  <c r="H353" i="2" a="1"/>
  <c r="H353" i="2" s="1"/>
  <c r="I353" i="2" s="1"/>
  <c r="H354" i="2" a="1"/>
  <c r="H354" i="2" s="1"/>
  <c r="I354" i="2" s="1"/>
  <c r="H355" i="2" a="1"/>
  <c r="H355" i="2" s="1"/>
  <c r="I355" i="2" s="1"/>
  <c r="H356" i="2" a="1"/>
  <c r="H356" i="2" s="1"/>
  <c r="I356" i="2" s="1"/>
  <c r="H357" i="2" a="1"/>
  <c r="H357" i="2" s="1"/>
  <c r="I357" i="2" s="1"/>
  <c r="H358" i="2" a="1"/>
  <c r="H358" i="2" s="1"/>
  <c r="I358" i="2" s="1"/>
  <c r="H359" i="2" a="1"/>
  <c r="H359" i="2" s="1"/>
  <c r="I359" i="2" s="1"/>
  <c r="H360" i="2" a="1"/>
  <c r="H360" i="2" s="1"/>
  <c r="I360" i="2" s="1"/>
  <c r="H361" i="2" a="1"/>
  <c r="H361" i="2" s="1"/>
  <c r="I361" i="2" s="1"/>
  <c r="H362" i="2" a="1"/>
  <c r="H362" i="2" s="1"/>
  <c r="I362" i="2" s="1"/>
  <c r="H363" i="2" a="1"/>
  <c r="H363" i="2" s="1"/>
  <c r="I363" i="2" s="1"/>
  <c r="H364" i="2" a="1"/>
  <c r="H364" i="2" s="1"/>
  <c r="I364" i="2" s="1"/>
  <c r="H365" i="2" a="1"/>
  <c r="H365" i="2" s="1"/>
  <c r="I365" i="2" s="1"/>
  <c r="H366" i="2" a="1"/>
  <c r="H366" i="2" s="1"/>
  <c r="I366" i="2" s="1"/>
  <c r="H367" i="2" a="1"/>
  <c r="H367" i="2" s="1"/>
  <c r="I367" i="2" s="1"/>
  <c r="H368" i="2" a="1"/>
  <c r="H368" i="2" s="1"/>
  <c r="I368" i="2" s="1"/>
  <c r="H369" i="2" a="1"/>
  <c r="H369" i="2" s="1"/>
  <c r="I369" i="2" s="1"/>
  <c r="H370" i="2" a="1"/>
  <c r="H370" i="2" s="1"/>
  <c r="I370" i="2" s="1"/>
  <c r="H371" i="2" a="1"/>
  <c r="H371" i="2" s="1"/>
  <c r="I371" i="2" s="1"/>
  <c r="H372" i="2" a="1"/>
  <c r="H372" i="2" s="1"/>
  <c r="I372" i="2" s="1"/>
  <c r="H373" i="2" a="1"/>
  <c r="H373" i="2" s="1"/>
  <c r="I373" i="2" s="1"/>
  <c r="H374" i="2" a="1"/>
  <c r="H374" i="2" s="1"/>
  <c r="I374" i="2" s="1"/>
  <c r="H375" i="2" a="1"/>
  <c r="H375" i="2" s="1"/>
  <c r="I375" i="2" s="1"/>
  <c r="H376" i="2" a="1"/>
  <c r="H376" i="2" s="1"/>
  <c r="I376" i="2" s="1"/>
  <c r="H377" i="2" a="1"/>
  <c r="H377" i="2" s="1"/>
  <c r="I377" i="2" s="1"/>
  <c r="H378" i="2" a="1"/>
  <c r="H378" i="2" s="1"/>
  <c r="I378" i="2" s="1"/>
  <c r="H379" i="2" a="1"/>
  <c r="H379" i="2" s="1"/>
  <c r="I379" i="2" s="1"/>
  <c r="H380" i="2" a="1"/>
  <c r="H380" i="2" s="1"/>
  <c r="H381" i="2" a="1"/>
  <c r="H381" i="2" s="1"/>
  <c r="I381" i="2" s="1"/>
  <c r="H382" i="2" a="1"/>
  <c r="H382" i="2" s="1"/>
  <c r="I382" i="2" s="1"/>
  <c r="H383" i="2" a="1"/>
  <c r="H383" i="2" s="1"/>
  <c r="I383" i="2" s="1"/>
  <c r="H384" i="2" a="1"/>
  <c r="H384" i="2" s="1"/>
  <c r="I384" i="2" s="1"/>
  <c r="H385" i="2" a="1"/>
  <c r="H385" i="2" s="1"/>
  <c r="I385" i="2" s="1"/>
  <c r="H386" i="2" a="1"/>
  <c r="H386" i="2" s="1"/>
  <c r="I386" i="2" s="1"/>
  <c r="H387" i="2" a="1"/>
  <c r="H387" i="2" s="1"/>
  <c r="I387" i="2" s="1"/>
  <c r="H388" i="2" a="1"/>
  <c r="H388" i="2" s="1"/>
  <c r="I388" i="2" s="1"/>
  <c r="H389" i="2" a="1"/>
  <c r="H389" i="2" s="1"/>
  <c r="I389" i="2" s="1"/>
  <c r="H390" i="2" a="1"/>
  <c r="H390" i="2" s="1"/>
  <c r="I390" i="2" s="1"/>
  <c r="H391" i="2" a="1"/>
  <c r="H391" i="2" s="1"/>
  <c r="I391" i="2" s="1"/>
  <c r="H392" i="2" a="1"/>
  <c r="H392" i="2" s="1"/>
  <c r="I392" i="2" s="1"/>
  <c r="H393" i="2" a="1"/>
  <c r="H393" i="2" s="1"/>
  <c r="I393" i="2" s="1"/>
  <c r="H394" i="2" a="1"/>
  <c r="H394" i="2" s="1"/>
  <c r="H395" i="2" a="1"/>
  <c r="H395" i="2" s="1"/>
  <c r="I395" i="2" s="1"/>
  <c r="H396" i="2" a="1"/>
  <c r="H396" i="2" s="1"/>
  <c r="I396" i="2" s="1"/>
  <c r="H397" i="2" a="1"/>
  <c r="H397" i="2" s="1"/>
  <c r="I397" i="2" s="1"/>
  <c r="H398" i="2" a="1"/>
  <c r="H398" i="2" s="1"/>
  <c r="I398" i="2" s="1"/>
  <c r="H399" i="2" a="1"/>
  <c r="H399" i="2" s="1"/>
  <c r="I399" i="2" s="1"/>
  <c r="H400" i="2" a="1"/>
  <c r="H400" i="2" s="1"/>
  <c r="I400" i="2" s="1"/>
  <c r="H401" i="2" a="1"/>
  <c r="H401" i="2" s="1"/>
  <c r="I401" i="2" s="1"/>
  <c r="H402" i="2" a="1"/>
  <c r="H402" i="2" s="1"/>
  <c r="I402" i="2" s="1"/>
  <c r="H403" i="2" a="1"/>
  <c r="H403" i="2" s="1"/>
  <c r="I403" i="2" s="1"/>
  <c r="H404" i="2" a="1"/>
  <c r="H404" i="2" s="1"/>
  <c r="I404" i="2" s="1"/>
  <c r="H405" i="2" a="1"/>
  <c r="H405" i="2" s="1"/>
  <c r="I405" i="2" s="1"/>
  <c r="H406" i="2" a="1"/>
  <c r="H406" i="2" s="1"/>
  <c r="I406" i="2" s="1"/>
  <c r="H407" i="2" a="1"/>
  <c r="H407" i="2" s="1"/>
  <c r="I407" i="2" s="1"/>
  <c r="H408" i="2" a="1"/>
  <c r="H408" i="2" s="1"/>
  <c r="I408" i="2" s="1"/>
  <c r="H409" i="2" a="1"/>
  <c r="H409" i="2" s="1"/>
  <c r="I409" i="2" s="1"/>
  <c r="H410" i="2" a="1"/>
  <c r="H410" i="2" s="1"/>
  <c r="I410" i="2" s="1"/>
  <c r="H411" i="2" a="1"/>
  <c r="H411" i="2" s="1"/>
  <c r="I411" i="2" s="1"/>
  <c r="H412" i="2" a="1"/>
  <c r="H412" i="2" s="1"/>
  <c r="I412" i="2" s="1"/>
  <c r="H413" i="2" a="1"/>
  <c r="H413" i="2" s="1"/>
  <c r="I413" i="2" s="1"/>
  <c r="H414" i="2" a="1"/>
  <c r="H414" i="2" s="1"/>
  <c r="I414" i="2" s="1"/>
  <c r="H415" i="2" a="1"/>
  <c r="H415" i="2" s="1"/>
  <c r="I415" i="2" s="1"/>
  <c r="H416" i="2" a="1"/>
  <c r="H416" i="2" s="1"/>
  <c r="I416" i="2" s="1"/>
  <c r="H417" i="2" a="1"/>
  <c r="H417" i="2" s="1"/>
  <c r="I417" i="2" s="1"/>
  <c r="H418" i="2" a="1"/>
  <c r="H418" i="2" s="1"/>
  <c r="I418" i="2" s="1"/>
  <c r="H419" i="2" a="1"/>
  <c r="H419" i="2" s="1"/>
  <c r="I419" i="2" s="1"/>
  <c r="H420" i="2" a="1"/>
  <c r="H420" i="2" s="1"/>
  <c r="I420" i="2" s="1"/>
  <c r="H421" i="2" a="1"/>
  <c r="H421" i="2" s="1"/>
  <c r="I421" i="2" s="1"/>
  <c r="H422" i="2" a="1"/>
  <c r="H422" i="2" s="1"/>
  <c r="I422" i="2" s="1"/>
  <c r="H423" i="2" a="1"/>
  <c r="H423" i="2" s="1"/>
  <c r="H424" i="2" a="1"/>
  <c r="H424" i="2" s="1"/>
  <c r="I424" i="2" s="1"/>
  <c r="H425" i="2" a="1"/>
  <c r="H425" i="2" s="1"/>
  <c r="I425" i="2" s="1"/>
  <c r="H426" i="2" a="1"/>
  <c r="H426" i="2" s="1"/>
  <c r="I426" i="2" s="1"/>
  <c r="H427" i="2" a="1"/>
  <c r="H427" i="2" s="1"/>
  <c r="I427" i="2" s="1"/>
  <c r="H428" i="2" a="1"/>
  <c r="H428" i="2" s="1"/>
  <c r="I428" i="2" s="1"/>
  <c r="H429" i="2" a="1"/>
  <c r="H429" i="2" s="1"/>
  <c r="I429" i="2" s="1"/>
  <c r="H430" i="2" a="1"/>
  <c r="H430" i="2" s="1"/>
  <c r="I430" i="2" s="1"/>
  <c r="H431" i="2" a="1"/>
  <c r="H431" i="2" s="1"/>
  <c r="I431" i="2" s="1"/>
  <c r="H432" i="2" a="1"/>
  <c r="H432" i="2" s="1"/>
  <c r="I432" i="2" s="1"/>
  <c r="H433" i="2" a="1"/>
  <c r="H433" i="2" s="1"/>
  <c r="I433" i="2" s="1"/>
  <c r="H434" i="2" a="1"/>
  <c r="H434" i="2" s="1"/>
  <c r="I434" i="2" s="1"/>
  <c r="H435" i="2" a="1"/>
  <c r="H435" i="2" s="1"/>
  <c r="I435" i="2" s="1"/>
  <c r="H436" i="2" a="1"/>
  <c r="H436" i="2" s="1"/>
  <c r="I436" i="2" s="1"/>
  <c r="H437" i="2" a="1"/>
  <c r="H437" i="2" s="1"/>
  <c r="I437" i="2" s="1"/>
  <c r="H438" i="2" a="1"/>
  <c r="H438" i="2" s="1"/>
  <c r="I438" i="2" s="1"/>
  <c r="H439" i="2" a="1"/>
  <c r="H439" i="2" s="1"/>
  <c r="I439" i="2" s="1"/>
  <c r="H440" i="2" a="1"/>
  <c r="H440" i="2" s="1"/>
  <c r="I440" i="2" s="1"/>
  <c r="H441" i="2" a="1"/>
  <c r="H441" i="2" s="1"/>
  <c r="I441" i="2" s="1"/>
  <c r="H442" i="2" a="1"/>
  <c r="H442" i="2" s="1"/>
  <c r="I442" i="2" s="1"/>
  <c r="H443" i="2" a="1"/>
  <c r="H443" i="2" s="1"/>
  <c r="I443" i="2" s="1"/>
  <c r="H444" i="2" a="1"/>
  <c r="H444" i="2" s="1"/>
  <c r="I444" i="2" s="1"/>
  <c r="H445" i="2" a="1"/>
  <c r="H445" i="2" s="1"/>
  <c r="I445" i="2" s="1"/>
  <c r="H446" i="2" a="1"/>
  <c r="H446" i="2" s="1"/>
  <c r="I446" i="2" s="1"/>
  <c r="H447" i="2" a="1"/>
  <c r="H447" i="2" s="1"/>
  <c r="I447" i="2" s="1"/>
  <c r="H448" i="2" a="1"/>
  <c r="H448" i="2" s="1"/>
  <c r="I448" i="2" s="1"/>
  <c r="H449" i="2" a="1"/>
  <c r="H449" i="2" s="1"/>
  <c r="I449" i="2" s="1"/>
  <c r="H450" i="2" a="1"/>
  <c r="H450" i="2" s="1"/>
  <c r="I450" i="2" s="1"/>
  <c r="H451" i="2" a="1"/>
  <c r="H451" i="2" s="1"/>
  <c r="H452" i="2" a="1"/>
  <c r="H452" i="2" s="1"/>
  <c r="I452" i="2" s="1"/>
  <c r="H453" i="2" a="1"/>
  <c r="H453" i="2" s="1"/>
  <c r="I453" i="2" s="1"/>
  <c r="H454" i="2" a="1"/>
  <c r="H454" i="2" s="1"/>
  <c r="I454" i="2" s="1"/>
  <c r="H455" i="2" a="1"/>
  <c r="H455" i="2" s="1"/>
  <c r="I455" i="2" s="1"/>
  <c r="H456" i="2" a="1"/>
  <c r="H456" i="2" s="1"/>
  <c r="I456" i="2" s="1"/>
  <c r="H457" i="2" a="1"/>
  <c r="H457" i="2" s="1"/>
  <c r="I457" i="2" s="1"/>
  <c r="H458" i="2" a="1"/>
  <c r="H458" i="2" s="1"/>
  <c r="I458" i="2" s="1"/>
  <c r="H459" i="2" a="1"/>
  <c r="H459" i="2" s="1"/>
  <c r="I459" i="2" s="1"/>
  <c r="H460" i="2" a="1"/>
  <c r="H460" i="2" s="1"/>
  <c r="I460" i="2" s="1"/>
  <c r="H461" i="2" a="1"/>
  <c r="H461" i="2" s="1"/>
  <c r="I461" i="2" s="1"/>
  <c r="H462" i="2" a="1"/>
  <c r="H462" i="2" s="1"/>
  <c r="I462" i="2" s="1"/>
  <c r="H463" i="2" a="1"/>
  <c r="H463" i="2" s="1"/>
  <c r="I463" i="2" s="1"/>
  <c r="H464" i="2" a="1"/>
  <c r="H464" i="2" s="1"/>
  <c r="I464" i="2" s="1"/>
  <c r="H465" i="2" a="1"/>
  <c r="H465" i="2" s="1"/>
  <c r="H466" i="2" a="1"/>
  <c r="H466" i="2" s="1"/>
  <c r="I466" i="2" s="1"/>
  <c r="H467" i="2" a="1"/>
  <c r="H467" i="2" s="1"/>
  <c r="I467" i="2" s="1"/>
  <c r="H468" i="2" a="1"/>
  <c r="H468" i="2" s="1"/>
  <c r="I468" i="2" s="1"/>
  <c r="H469" i="2" a="1"/>
  <c r="H469" i="2" s="1"/>
  <c r="I469" i="2" s="1"/>
  <c r="H470" i="2" a="1"/>
  <c r="H470" i="2" s="1"/>
  <c r="I470" i="2" s="1"/>
  <c r="H471" i="2" a="1"/>
  <c r="H471" i="2" s="1"/>
  <c r="I471" i="2" s="1"/>
  <c r="H472" i="2" a="1"/>
  <c r="H472" i="2" s="1"/>
  <c r="I472" i="2" s="1"/>
  <c r="H473" i="2" a="1"/>
  <c r="H473" i="2" s="1"/>
  <c r="I473" i="2" s="1"/>
  <c r="H474" i="2" a="1"/>
  <c r="H474" i="2" s="1"/>
  <c r="I474" i="2" s="1"/>
  <c r="H475" i="2" a="1"/>
  <c r="H475" i="2" s="1"/>
  <c r="I475" i="2" s="1"/>
  <c r="H476" i="2" a="1"/>
  <c r="H476" i="2" s="1"/>
  <c r="I476" i="2" s="1"/>
  <c r="H477" i="2" a="1"/>
  <c r="H477" i="2" s="1"/>
  <c r="I477" i="2" s="1"/>
  <c r="H478" i="2" a="1"/>
  <c r="H478" i="2" s="1"/>
  <c r="I478" i="2" s="1"/>
  <c r="H479" i="2" a="1"/>
  <c r="H479" i="2" s="1"/>
  <c r="I479" i="2" s="1"/>
  <c r="H480" i="2" a="1"/>
  <c r="H480" i="2" s="1"/>
  <c r="H481" i="2" a="1"/>
  <c r="H481" i="2" s="1"/>
  <c r="I481" i="2" s="1"/>
  <c r="H482" i="2" a="1"/>
  <c r="H482" i="2" s="1"/>
  <c r="I482" i="2" s="1"/>
  <c r="H483" i="2" a="1"/>
  <c r="H483" i="2" s="1"/>
  <c r="I483" i="2" s="1"/>
  <c r="H484" i="2" a="1"/>
  <c r="H484" i="2" s="1"/>
  <c r="I484" i="2" s="1"/>
  <c r="H485" i="2" a="1"/>
  <c r="H485" i="2" s="1"/>
  <c r="I485" i="2" s="1"/>
  <c r="H486" i="2" a="1"/>
  <c r="H486" i="2" s="1"/>
  <c r="I486" i="2" s="1"/>
  <c r="H487" i="2" a="1"/>
  <c r="H487" i="2" s="1"/>
  <c r="I487" i="2" s="1"/>
  <c r="H488" i="2" a="1"/>
  <c r="H488" i="2" s="1"/>
  <c r="I488" i="2" s="1"/>
  <c r="H489" i="2" a="1"/>
  <c r="H489" i="2" s="1"/>
  <c r="I489" i="2" s="1"/>
  <c r="H490" i="2" a="1"/>
  <c r="H490" i="2" s="1"/>
  <c r="I490" i="2" s="1"/>
  <c r="H491" i="2" a="1"/>
  <c r="H491" i="2" s="1"/>
  <c r="I491" i="2" s="1"/>
  <c r="H492" i="2" a="1"/>
  <c r="H492" i="2" s="1"/>
  <c r="I492" i="2" s="1"/>
  <c r="H493" i="2" a="1"/>
  <c r="H493" i="2" s="1"/>
  <c r="I493" i="2" s="1"/>
  <c r="H494" i="2" a="1"/>
  <c r="H494" i="2" s="1"/>
  <c r="H495" i="2" a="1"/>
  <c r="H495" i="2" s="1"/>
  <c r="I495" i="2" s="1"/>
  <c r="H496" i="2" a="1"/>
  <c r="H496" i="2" s="1"/>
  <c r="I496" i="2" s="1"/>
  <c r="H497" i="2" a="1"/>
  <c r="H497" i="2" s="1"/>
  <c r="I497" i="2" s="1"/>
  <c r="H498" i="2" a="1"/>
  <c r="H498" i="2" s="1"/>
  <c r="I498" i="2" s="1"/>
  <c r="H499" i="2" a="1"/>
  <c r="H499" i="2" s="1"/>
  <c r="I499" i="2" s="1"/>
  <c r="H500" i="2" a="1"/>
  <c r="H500" i="2" s="1"/>
  <c r="I500" i="2" s="1"/>
  <c r="B24" i="1"/>
  <c r="H15" i="8"/>
  <c r="G15" i="8"/>
  <c r="F15" i="8"/>
  <c r="D15" i="8"/>
  <c r="C15" i="8"/>
  <c r="B15" i="8"/>
  <c r="H14" i="8"/>
  <c r="G14" i="8"/>
  <c r="F14" i="8"/>
  <c r="D14" i="8"/>
  <c r="C14" i="8"/>
  <c r="B14" i="8"/>
  <c r="H13" i="8"/>
  <c r="G13" i="8"/>
  <c r="F13" i="8"/>
  <c r="D13" i="8"/>
  <c r="C13" i="8"/>
  <c r="B13" i="8"/>
  <c r="H12" i="8"/>
  <c r="G12" i="8"/>
  <c r="F12" i="8"/>
  <c r="D12" i="8"/>
  <c r="C12" i="8"/>
  <c r="B12" i="8"/>
  <c r="Q26" i="2" s="1"/>
  <c r="F11" i="8"/>
  <c r="H10" i="8"/>
  <c r="H199" i="2" s="1" a="1"/>
  <c r="G10" i="8"/>
  <c r="F10" i="8"/>
  <c r="D10" i="8"/>
  <c r="C10" i="8"/>
  <c r="B10" i="8"/>
  <c r="H204" i="2" s="1" a="1"/>
  <c r="H9" i="8"/>
  <c r="H42" i="2" s="1" a="1"/>
  <c r="G9" i="8"/>
  <c r="F9" i="8"/>
  <c r="D9" i="8"/>
  <c r="C9" i="8"/>
  <c r="B9" i="8"/>
  <c r="H126" i="2" s="1" a="1"/>
  <c r="H8" i="8"/>
  <c r="H91" i="2" s="1" a="1"/>
  <c r="G8" i="8"/>
  <c r="F8" i="8"/>
  <c r="D8" i="8"/>
  <c r="B8" i="1"/>
  <c r="B18" i="1"/>
  <c r="F24" i="1"/>
  <c r="H123" i="2" a="1"/>
  <c r="H219" i="2" a="1"/>
  <c r="H76" i="2" a="1"/>
  <c r="H172" i="2" a="1"/>
  <c r="H90" i="2" a="1"/>
  <c r="H125" i="2" a="1"/>
  <c r="H221" i="2" a="1"/>
  <c r="H78" i="2" a="1"/>
  <c r="H174" i="2" a="1"/>
  <c r="H47" i="2" a="1"/>
  <c r="H143" i="2" a="1"/>
  <c r="H48" i="2" a="1"/>
  <c r="H128" i="2" a="1"/>
  <c r="H144" i="2" a="1"/>
  <c r="H148" i="2" a="1"/>
  <c r="H81" i="2" a="1"/>
  <c r="H177" i="2" a="1"/>
  <c r="H186" i="2" a="1"/>
  <c r="H34" i="2" a="1"/>
  <c r="H114" i="2" a="1"/>
  <c r="H210" i="2" a="1"/>
  <c r="H35" i="2" a="1"/>
  <c r="H131" i="2" a="1"/>
  <c r="H179" i="2" a="1"/>
  <c r="H227" i="2" a="1"/>
  <c r="H52" i="2" a="1"/>
  <c r="H164" i="2" a="1"/>
  <c r="H85" i="2" a="1"/>
  <c r="H181" i="2" a="1"/>
  <c r="H154" i="2" a="1"/>
  <c r="H122" i="2" a="1"/>
  <c r="H119" i="2" a="1"/>
  <c r="H215" i="2" a="1"/>
  <c r="H88" i="2" a="1"/>
  <c r="H184" i="2" a="1"/>
  <c r="H103" i="2" l="1" a="1"/>
  <c r="H103" i="2" s="1"/>
  <c r="I103" i="2" s="1"/>
  <c r="H165" i="2" a="1"/>
  <c r="H211" i="2" a="1"/>
  <c r="H211" i="2" s="1"/>
  <c r="I211" i="2" s="1"/>
  <c r="H194" i="2" a="1"/>
  <c r="H194" i="2" s="1"/>
  <c r="I194" i="2" s="1"/>
  <c r="H65" i="2" a="1"/>
  <c r="H65" i="2" s="1"/>
  <c r="I65" i="2" s="1"/>
  <c r="H127" i="2" a="1"/>
  <c r="H127" i="2" s="1"/>
  <c r="I127" i="2" s="1"/>
  <c r="H205" i="2" a="1"/>
  <c r="H205" i="2" s="1"/>
  <c r="I205" i="2" s="1"/>
  <c r="H203" i="2" a="1"/>
  <c r="H203" i="2" s="1"/>
  <c r="I203" i="2" s="1"/>
  <c r="H58" i="2" a="1"/>
  <c r="H58" i="2" s="1"/>
  <c r="I58" i="2" s="1"/>
  <c r="H152" i="2" a="1"/>
  <c r="H152" i="2" s="1"/>
  <c r="I152" i="2" s="1"/>
  <c r="H56" i="2" a="1"/>
  <c r="H56" i="2" s="1"/>
  <c r="I56" i="2" s="1"/>
  <c r="H183" i="2" a="1"/>
  <c r="H183" i="2" s="1"/>
  <c r="I183" i="2" s="1"/>
  <c r="H87" i="2" a="1"/>
  <c r="H118" i="2" a="1"/>
  <c r="H118" i="2" s="1"/>
  <c r="I118" i="2" s="1"/>
  <c r="H149" i="2" a="1"/>
  <c r="H149" i="2" s="1"/>
  <c r="I149" i="2" s="1"/>
  <c r="H53" i="2" a="1"/>
  <c r="H53" i="2" s="1"/>
  <c r="I53" i="2" s="1"/>
  <c r="H116" i="2" a="1"/>
  <c r="H116" i="2" s="1"/>
  <c r="I116" i="2" s="1"/>
  <c r="H138" i="2" a="1"/>
  <c r="H138" i="2" s="1"/>
  <c r="I138" i="2" s="1"/>
  <c r="H195" i="2" a="1"/>
  <c r="H195" i="2" s="1"/>
  <c r="I195" i="2" s="1"/>
  <c r="H99" i="2" a="1"/>
  <c r="H99" i="2" s="1"/>
  <c r="I99" i="2" s="1"/>
  <c r="H153" i="2" a="1"/>
  <c r="H153" i="2" s="1"/>
  <c r="I153" i="2" s="1"/>
  <c r="H178" i="2" a="1"/>
  <c r="H178" i="2" s="1"/>
  <c r="I178" i="2" s="1"/>
  <c r="H82" i="2" a="1"/>
  <c r="H82" i="2" s="1"/>
  <c r="I82" i="2" s="1"/>
  <c r="H212" i="2" a="1"/>
  <c r="H212" i="2" s="1"/>
  <c r="I212" i="2" s="1"/>
  <c r="H145" i="2" a="1"/>
  <c r="H49" i="2" a="1"/>
  <c r="H49" i="2" s="1"/>
  <c r="I49" i="2" s="1"/>
  <c r="H208" i="2" a="1"/>
  <c r="H208" i="2" s="1"/>
  <c r="I208" i="2" s="1"/>
  <c r="H112" i="2" a="1"/>
  <c r="H112" i="2" s="1"/>
  <c r="I112" i="2" s="1"/>
  <c r="H207" i="2" a="1"/>
  <c r="H207" i="2" s="1"/>
  <c r="I207" i="2" s="1"/>
  <c r="H185" i="2" a="1"/>
  <c r="H185" i="2" s="1"/>
  <c r="I185" i="2" s="1"/>
  <c r="H142" i="2" a="1"/>
  <c r="H142" i="2" s="1"/>
  <c r="I142" i="2" s="1"/>
  <c r="H46" i="2" a="1"/>
  <c r="H46" i="2" s="1"/>
  <c r="I46" i="2" s="1"/>
  <c r="H189" i="2" a="1"/>
  <c r="H189" i="2" s="1"/>
  <c r="I189" i="2" s="1"/>
  <c r="H93" i="2" a="1"/>
  <c r="H93" i="2" s="1"/>
  <c r="I93" i="2" s="1"/>
  <c r="H198" i="2" a="1"/>
  <c r="H198" i="2" s="1"/>
  <c r="I198" i="2" s="1"/>
  <c r="H140" i="2" a="1"/>
  <c r="H140" i="2" s="1"/>
  <c r="I140" i="2" s="1"/>
  <c r="H44" i="2" a="1"/>
  <c r="H187" i="2" a="1"/>
  <c r="H187" i="2" s="1"/>
  <c r="I187" i="2" s="1"/>
  <c r="H23" i="2" a="1"/>
  <c r="H23" i="2" s="1"/>
  <c r="I23" i="2" s="1"/>
  <c r="H28" i="2" a="1"/>
  <c r="H28" i="2" s="1"/>
  <c r="I28" i="2" s="1"/>
  <c r="H30" i="2" a="1"/>
  <c r="H30" i="2" s="1"/>
  <c r="I30" i="2" s="1"/>
  <c r="H26" i="2" a="1"/>
  <c r="H26" i="2" s="1"/>
  <c r="I26" i="2" s="1"/>
  <c r="H31" i="2" a="1"/>
  <c r="H31" i="2" s="1"/>
  <c r="I31" i="2" s="1"/>
  <c r="H24" i="2" a="1"/>
  <c r="H24" i="2" s="1"/>
  <c r="I24" i="2" s="1"/>
  <c r="H72" i="2" a="1"/>
  <c r="H72" i="2" s="1"/>
  <c r="I72" i="2" s="1"/>
  <c r="H38" i="2" a="1"/>
  <c r="H38" i="2" s="1"/>
  <c r="I38" i="2" s="1"/>
  <c r="H36" i="2" a="1"/>
  <c r="H36" i="2" s="1"/>
  <c r="I36" i="2" s="1"/>
  <c r="H98" i="2" a="1"/>
  <c r="H98" i="2" s="1"/>
  <c r="I98" i="2" s="1"/>
  <c r="H158" i="2" a="1"/>
  <c r="H57" i="2" a="1"/>
  <c r="H57" i="2" s="1"/>
  <c r="I57" i="2" s="1"/>
  <c r="H40" i="2" a="1"/>
  <c r="H167" i="2" a="1"/>
  <c r="H167" i="2" s="1"/>
  <c r="I167" i="2" s="1"/>
  <c r="H71" i="2" a="1"/>
  <c r="H71" i="2" s="1"/>
  <c r="I71" i="2" s="1"/>
  <c r="H102" i="2" a="1"/>
  <c r="H102" i="2" s="1"/>
  <c r="I102" i="2" s="1"/>
  <c r="H169" i="2" a="1"/>
  <c r="H169" i="2" s="1"/>
  <c r="I169" i="2" s="1"/>
  <c r="H133" i="2" a="1"/>
  <c r="H133" i="2" s="1"/>
  <c r="I133" i="2" s="1"/>
  <c r="H37" i="2" a="1"/>
  <c r="H37" i="2" s="1"/>
  <c r="I37" i="2" s="1"/>
  <c r="H100" i="2" a="1"/>
  <c r="H100" i="2" s="1"/>
  <c r="I100" i="2" s="1"/>
  <c r="H41" i="2" a="1"/>
  <c r="H41" i="2" s="1"/>
  <c r="I41" i="2" s="1"/>
  <c r="H83" i="2" a="1"/>
  <c r="H83" i="2" s="1"/>
  <c r="I83" i="2" s="1"/>
  <c r="H214" i="2" a="1"/>
  <c r="H214" i="2" s="1"/>
  <c r="I214" i="2" s="1"/>
  <c r="H162" i="2" a="1"/>
  <c r="H162" i="2" s="1"/>
  <c r="I162" i="2" s="1"/>
  <c r="H66" i="2" a="1"/>
  <c r="H66" i="2" s="1"/>
  <c r="I66" i="2" s="1"/>
  <c r="H225" i="2" a="1"/>
  <c r="H225" i="2" s="1"/>
  <c r="I225" i="2" s="1"/>
  <c r="H129" i="2" a="1"/>
  <c r="H129" i="2" s="1"/>
  <c r="I129" i="2" s="1"/>
  <c r="H33" i="2" a="1"/>
  <c r="H33" i="2" s="1"/>
  <c r="I33" i="2" s="1"/>
  <c r="H192" i="2" a="1"/>
  <c r="H96" i="2" a="1"/>
  <c r="H96" i="2" s="1"/>
  <c r="I96" i="2" s="1"/>
  <c r="H191" i="2" a="1"/>
  <c r="H191" i="2" s="1"/>
  <c r="I191" i="2" s="1"/>
  <c r="H95" i="2" a="1"/>
  <c r="H95" i="2" s="1"/>
  <c r="I95" i="2" s="1"/>
  <c r="H222" i="2" a="1"/>
  <c r="H222" i="2" s="1"/>
  <c r="I222" i="2" s="1"/>
  <c r="H202" i="2" a="1"/>
  <c r="H202" i="2" s="1"/>
  <c r="I202" i="2" s="1"/>
  <c r="H173" i="2" a="1"/>
  <c r="H77" i="2" a="1"/>
  <c r="H77" i="2" s="1"/>
  <c r="I77" i="2" s="1"/>
  <c r="H220" i="2" a="1"/>
  <c r="H220" i="2" s="1"/>
  <c r="I220" i="2" s="1"/>
  <c r="H124" i="2" a="1"/>
  <c r="H124" i="2" s="1"/>
  <c r="I124" i="2" s="1"/>
  <c r="H74" i="2" a="1"/>
  <c r="H74" i="2" s="1"/>
  <c r="I74" i="2" s="1"/>
  <c r="H171" i="2" a="1"/>
  <c r="H171" i="2" s="1"/>
  <c r="I171" i="2" s="1"/>
  <c r="H75" i="2" a="1"/>
  <c r="H75" i="2" s="1"/>
  <c r="I75" i="2" s="1"/>
  <c r="H168" i="2" a="1"/>
  <c r="H168" i="2" s="1"/>
  <c r="I168" i="2" s="1"/>
  <c r="H134" i="2" a="1"/>
  <c r="H134" i="2" s="1"/>
  <c r="I134" i="2" s="1"/>
  <c r="H132" i="2" a="1"/>
  <c r="H132" i="2" s="1"/>
  <c r="I132" i="2" s="1"/>
  <c r="H106" i="2" a="1"/>
  <c r="H106" i="2" s="1"/>
  <c r="I106" i="2" s="1"/>
  <c r="H161" i="2" a="1"/>
  <c r="H161" i="2" s="1"/>
  <c r="I161" i="2" s="1"/>
  <c r="H32" i="2" a="1"/>
  <c r="H62" i="2" a="1"/>
  <c r="H156" i="2" a="1"/>
  <c r="H156" i="2" s="1"/>
  <c r="I156" i="2" s="1"/>
  <c r="H29" i="2" a="1"/>
  <c r="H29" i="2" s="1"/>
  <c r="I29" i="2" s="1"/>
  <c r="H137" i="2" a="1"/>
  <c r="H137" i="2" s="1"/>
  <c r="I137" i="2" s="1"/>
  <c r="H216" i="2" a="1"/>
  <c r="H216" i="2" s="1"/>
  <c r="I216" i="2" s="1"/>
  <c r="H120" i="2" a="1"/>
  <c r="H120" i="2" s="1"/>
  <c r="I120" i="2" s="1"/>
  <c r="H218" i="2" a="1"/>
  <c r="H218" i="2" s="1"/>
  <c r="I218" i="2" s="1"/>
  <c r="H151" i="2" a="1"/>
  <c r="H151" i="2" s="1"/>
  <c r="I151" i="2" s="1"/>
  <c r="H55" i="2" a="1"/>
  <c r="H55" i="2" s="1"/>
  <c r="I55" i="2" s="1"/>
  <c r="H86" i="2" a="1"/>
  <c r="H86" i="2" s="1"/>
  <c r="I86" i="2" s="1"/>
  <c r="H213" i="2" a="1"/>
  <c r="H213" i="2" s="1"/>
  <c r="I213" i="2" s="1"/>
  <c r="H117" i="2" a="1"/>
  <c r="H117" i="2" s="1"/>
  <c r="I117" i="2" s="1"/>
  <c r="H201" i="2" a="1"/>
  <c r="H84" i="2" a="1"/>
  <c r="H84" i="2" s="1"/>
  <c r="I84" i="2" s="1"/>
  <c r="H166" i="2" a="1"/>
  <c r="H166" i="2" s="1"/>
  <c r="I166" i="2" s="1"/>
  <c r="H163" i="2" a="1"/>
  <c r="H163" i="2" s="1"/>
  <c r="I163" i="2" s="1"/>
  <c r="H67" i="2" a="1"/>
  <c r="H67" i="2" s="1"/>
  <c r="I67" i="2" s="1"/>
  <c r="H196" i="2" a="1"/>
  <c r="H196" i="2" s="1"/>
  <c r="I196" i="2" s="1"/>
  <c r="H146" i="2" a="1"/>
  <c r="H50" i="2" a="1"/>
  <c r="H50" i="2" s="1"/>
  <c r="I50" i="2" s="1"/>
  <c r="H209" i="2" a="1"/>
  <c r="H209" i="2" s="1"/>
  <c r="I209" i="2" s="1"/>
  <c r="H113" i="2" a="1"/>
  <c r="H113" i="2" s="1"/>
  <c r="I113" i="2" s="1"/>
  <c r="H170" i="2" a="1"/>
  <c r="H170" i="2" s="1"/>
  <c r="I170" i="2" s="1"/>
  <c r="H176" i="2" a="1"/>
  <c r="H176" i="2" s="1"/>
  <c r="I176" i="2" s="1"/>
  <c r="H80" i="2" a="1"/>
  <c r="H80" i="2" s="1"/>
  <c r="I80" i="2" s="1"/>
  <c r="H175" i="2" a="1"/>
  <c r="H175" i="2" s="1"/>
  <c r="I175" i="2" s="1"/>
  <c r="H79" i="2" a="1"/>
  <c r="H79" i="2" s="1"/>
  <c r="I79" i="2" s="1"/>
  <c r="H206" i="2" a="1"/>
  <c r="H206" i="2" s="1"/>
  <c r="I206" i="2" s="1"/>
  <c r="H110" i="2" a="1"/>
  <c r="H110" i="2" s="1"/>
  <c r="I110" i="2" s="1"/>
  <c r="H121" i="2" a="1"/>
  <c r="H121" i="2" s="1"/>
  <c r="I121" i="2" s="1"/>
  <c r="H157" i="2" a="1"/>
  <c r="H157" i="2" s="1"/>
  <c r="I157" i="2" s="1"/>
  <c r="H61" i="2" a="1"/>
  <c r="H61" i="2" s="1"/>
  <c r="I61" i="2" s="1"/>
  <c r="H108" i="2" a="1"/>
  <c r="H108" i="2" s="1"/>
  <c r="I108" i="2" s="1"/>
  <c r="H89" i="2" a="1"/>
  <c r="H155" i="2" a="1"/>
  <c r="H155" i="2" s="1"/>
  <c r="I155" i="2" s="1"/>
  <c r="H59" i="2" a="1"/>
  <c r="H59" i="2" s="1"/>
  <c r="I59" i="2" s="1"/>
  <c r="H69" i="2" a="1"/>
  <c r="H69" i="2" s="1"/>
  <c r="I69" i="2" s="1"/>
  <c r="H115" i="2" a="1"/>
  <c r="H115" i="2" s="1"/>
  <c r="I115" i="2" s="1"/>
  <c r="H105" i="2" a="1"/>
  <c r="H105" i="2" s="1"/>
  <c r="I105" i="2" s="1"/>
  <c r="H109" i="2" a="1"/>
  <c r="H109" i="2" s="1"/>
  <c r="I109" i="2" s="1"/>
  <c r="H60" i="2" a="1"/>
  <c r="H60" i="2" s="1"/>
  <c r="I60" i="2" s="1"/>
  <c r="H27" i="2" a="1"/>
  <c r="H27" i="2" s="1"/>
  <c r="I27" i="2" s="1"/>
  <c r="H136" i="2" a="1"/>
  <c r="H136" i="2" s="1"/>
  <c r="I136" i="2" s="1"/>
  <c r="H200" i="2" a="1"/>
  <c r="H200" i="2" s="1"/>
  <c r="I200" i="2" s="1"/>
  <c r="H104" i="2" a="1"/>
  <c r="H104" i="2" s="1"/>
  <c r="I104" i="2" s="1"/>
  <c r="H217" i="2" a="1"/>
  <c r="H217" i="2" s="1"/>
  <c r="I217" i="2" s="1"/>
  <c r="H135" i="2" a="1"/>
  <c r="H135" i="2" s="1"/>
  <c r="I135" i="2" s="1"/>
  <c r="H39" i="2" a="1"/>
  <c r="H39" i="2" s="1"/>
  <c r="I39" i="2" s="1"/>
  <c r="H70" i="2" a="1"/>
  <c r="H70" i="2" s="1"/>
  <c r="I70" i="2" s="1"/>
  <c r="H197" i="2" a="1"/>
  <c r="H197" i="2" s="1"/>
  <c r="I197" i="2" s="1"/>
  <c r="H101" i="2" a="1"/>
  <c r="H101" i="2" s="1"/>
  <c r="I101" i="2" s="1"/>
  <c r="H150" i="2" a="1"/>
  <c r="H150" i="2" s="1"/>
  <c r="I150" i="2" s="1"/>
  <c r="H68" i="2" a="1"/>
  <c r="H68" i="2" s="1"/>
  <c r="I68" i="2" s="1"/>
  <c r="H180" i="2" a="1"/>
  <c r="H180" i="2" s="1"/>
  <c r="I180" i="2" s="1"/>
  <c r="H147" i="2" a="1"/>
  <c r="H147" i="2" s="1"/>
  <c r="I147" i="2" s="1"/>
  <c r="H51" i="2" a="1"/>
  <c r="H51" i="2" s="1"/>
  <c r="I51" i="2" s="1"/>
  <c r="H130" i="2" a="1"/>
  <c r="H130" i="2" s="1"/>
  <c r="I130" i="2" s="1"/>
  <c r="H193" i="2" a="1"/>
  <c r="H193" i="2" s="1"/>
  <c r="I193" i="2" s="1"/>
  <c r="H97" i="2" a="1"/>
  <c r="H97" i="2" s="1"/>
  <c r="I97" i="2" s="1"/>
  <c r="H73" i="2" a="1"/>
  <c r="H73" i="2" s="1"/>
  <c r="I73" i="2" s="1"/>
  <c r="H160" i="2" a="1"/>
  <c r="H160" i="2" s="1"/>
  <c r="I160" i="2" s="1"/>
  <c r="H64" i="2" a="1"/>
  <c r="H64" i="2" s="1"/>
  <c r="I64" i="2" s="1"/>
  <c r="H63" i="2" a="1"/>
  <c r="H63" i="2" s="1"/>
  <c r="I63" i="2" s="1"/>
  <c r="H94" i="2" a="1"/>
  <c r="H94" i="2" s="1"/>
  <c r="I94" i="2" s="1"/>
  <c r="H182" i="2" a="1"/>
  <c r="H182" i="2" s="1"/>
  <c r="I182" i="2" s="1"/>
  <c r="H141" i="2" a="1"/>
  <c r="H141" i="2" s="1"/>
  <c r="I141" i="2" s="1"/>
  <c r="H45" i="2" a="1"/>
  <c r="H45" i="2" s="1"/>
  <c r="I45" i="2" s="1"/>
  <c r="H188" i="2" a="1"/>
  <c r="H188" i="2" s="1"/>
  <c r="I188" i="2" s="1"/>
  <c r="H92" i="2" a="1"/>
  <c r="H92" i="2" s="1"/>
  <c r="I92" i="2" s="1"/>
  <c r="H223" i="2" a="1"/>
  <c r="H223" i="2" s="1"/>
  <c r="I223" i="2" s="1"/>
  <c r="H139" i="2" a="1"/>
  <c r="H139" i="2" s="1"/>
  <c r="I139" i="2" s="1"/>
  <c r="H43" i="2" a="1"/>
  <c r="H43" i="2" s="1"/>
  <c r="I43" i="2" s="1"/>
  <c r="H184" i="2"/>
  <c r="I184" i="2" s="1"/>
  <c r="H88" i="2"/>
  <c r="I88" i="2" s="1"/>
  <c r="H40" i="2"/>
  <c r="I40" i="2" s="1"/>
  <c r="H215" i="2"/>
  <c r="I215" i="2" s="1"/>
  <c r="H199" i="2"/>
  <c r="I199" i="2" s="1"/>
  <c r="H119" i="2"/>
  <c r="I119" i="2" s="1"/>
  <c r="H87" i="2"/>
  <c r="I87" i="2" s="1"/>
  <c r="H122" i="2"/>
  <c r="I122" i="2" s="1"/>
  <c r="H154" i="2"/>
  <c r="I154" i="2" s="1"/>
  <c r="H181" i="2"/>
  <c r="I181" i="2" s="1"/>
  <c r="H165" i="2"/>
  <c r="I165" i="2" s="1"/>
  <c r="H85" i="2"/>
  <c r="I85" i="2" s="1"/>
  <c r="H201" i="2"/>
  <c r="I201" i="2" s="1"/>
  <c r="H164" i="2"/>
  <c r="I164" i="2" s="1"/>
  <c r="H52" i="2"/>
  <c r="I52" i="2" s="1"/>
  <c r="H227" i="2"/>
  <c r="I227" i="2" s="1"/>
  <c r="H179" i="2"/>
  <c r="I179" i="2" s="1"/>
  <c r="H131" i="2"/>
  <c r="I131" i="2" s="1"/>
  <c r="H35" i="2"/>
  <c r="I35" i="2" s="1"/>
  <c r="H210" i="2"/>
  <c r="I210" i="2" s="1"/>
  <c r="H146" i="2"/>
  <c r="I146" i="2" s="1"/>
  <c r="H114" i="2"/>
  <c r="I114" i="2" s="1"/>
  <c r="H34" i="2"/>
  <c r="I34" i="2" s="1"/>
  <c r="H186" i="2"/>
  <c r="I186" i="2" s="1"/>
  <c r="H177" i="2"/>
  <c r="I177" i="2" s="1"/>
  <c r="H145" i="2"/>
  <c r="I145" i="2" s="1"/>
  <c r="H81" i="2"/>
  <c r="I81" i="2" s="1"/>
  <c r="H148" i="2"/>
  <c r="I148" i="2" s="1"/>
  <c r="H192" i="2"/>
  <c r="I192" i="2" s="1"/>
  <c r="H144" i="2"/>
  <c r="I144" i="2" s="1"/>
  <c r="H128" i="2"/>
  <c r="I128" i="2" s="1"/>
  <c r="H48" i="2"/>
  <c r="I48" i="2" s="1"/>
  <c r="H32" i="2"/>
  <c r="I32" i="2" s="1"/>
  <c r="H143" i="2"/>
  <c r="I143" i="2" s="1"/>
  <c r="H47" i="2"/>
  <c r="I47" i="2" s="1"/>
  <c r="H42" i="2"/>
  <c r="I42" i="2" s="1"/>
  <c r="H174" i="2"/>
  <c r="I174" i="2" s="1"/>
  <c r="H158" i="2"/>
  <c r="I158" i="2" s="1"/>
  <c r="H126" i="2"/>
  <c r="I126" i="2" s="1"/>
  <c r="H78" i="2"/>
  <c r="I78" i="2" s="1"/>
  <c r="H62" i="2"/>
  <c r="I62" i="2" s="1"/>
  <c r="H221" i="2"/>
  <c r="I221" i="2" s="1"/>
  <c r="H173" i="2"/>
  <c r="I173" i="2" s="1"/>
  <c r="H125" i="2"/>
  <c r="I125" i="2" s="1"/>
  <c r="H90" i="2"/>
  <c r="I90" i="2" s="1"/>
  <c r="H204" i="2"/>
  <c r="I204" i="2" s="1"/>
  <c r="H172" i="2"/>
  <c r="I172" i="2" s="1"/>
  <c r="H76" i="2"/>
  <c r="I76" i="2" s="1"/>
  <c r="H44" i="2"/>
  <c r="I44" i="2" s="1"/>
  <c r="H89" i="2"/>
  <c r="I89" i="2" s="1"/>
  <c r="H219" i="2"/>
  <c r="I219" i="2" s="1"/>
  <c r="H123" i="2"/>
  <c r="I123" i="2" s="1"/>
  <c r="H91" i="2"/>
  <c r="I91" i="2" s="1"/>
  <c r="Q465" i="2"/>
  <c r="I465" i="2"/>
  <c r="Q494" i="2"/>
  <c r="U494" i="2" s="1" a="1"/>
  <c r="I494" i="2"/>
  <c r="Q64" i="2"/>
  <c r="U64" i="2" s="1" a="1"/>
  <c r="Q269" i="2"/>
  <c r="I269" i="2"/>
  <c r="Q380" i="2"/>
  <c r="U380" i="2" s="1" a="1"/>
  <c r="I380" i="2"/>
  <c r="Q204" i="2"/>
  <c r="U204" i="2" s="1" a="1"/>
  <c r="Q140" i="2"/>
  <c r="Q76" i="2"/>
  <c r="U76" i="2" s="1" a="1"/>
  <c r="Q394" i="2"/>
  <c r="U394" i="2" s="1" a="1"/>
  <c r="I394" i="2"/>
  <c r="Q217" i="2"/>
  <c r="U217" i="2" s="1" a="1"/>
  <c r="Q153" i="2"/>
  <c r="U153" i="2" s="1" a="1"/>
  <c r="Q89" i="2"/>
  <c r="Q480" i="2"/>
  <c r="I480" i="2"/>
  <c r="Q282" i="2"/>
  <c r="U282" i="2" s="1" a="1"/>
  <c r="I282" i="2"/>
  <c r="Q423" i="2"/>
  <c r="U423" i="2" s="1" a="1"/>
  <c r="I423" i="2"/>
  <c r="Q231" i="2"/>
  <c r="U231" i="2" s="1" a="1"/>
  <c r="I231" i="2"/>
  <c r="Q192" i="2"/>
  <c r="U192" i="2" s="1" a="1"/>
  <c r="Q166" i="2"/>
  <c r="U166" i="2" s="1" a="1"/>
  <c r="Q102" i="2"/>
  <c r="U102" i="2" s="1" a="1"/>
  <c r="Q38" i="2"/>
  <c r="Q128" i="2"/>
  <c r="Q451" i="2"/>
  <c r="U451" i="2" s="1" a="1"/>
  <c r="I451" i="2"/>
  <c r="Q243" i="2"/>
  <c r="U243" i="2" s="1" a="1"/>
  <c r="I243" i="2"/>
  <c r="Q376" i="2"/>
  <c r="Q275" i="2"/>
  <c r="Q258" i="2"/>
  <c r="U258" i="2" s="1" a="1"/>
  <c r="Q205" i="2"/>
  <c r="U205" i="2" s="1" a="1"/>
  <c r="Q375" i="2"/>
  <c r="Q207" i="2"/>
  <c r="U207" i="2" s="1" a="1"/>
  <c r="Q488" i="2"/>
  <c r="U488" i="2" s="1" a="1"/>
  <c r="Q360" i="2"/>
  <c r="U360" i="2" s="1" a="1"/>
  <c r="Q487" i="2"/>
  <c r="U487" i="2" s="1" a="1"/>
  <c r="Q359" i="2"/>
  <c r="U359" i="2" s="1" a="1"/>
  <c r="Q42" i="2"/>
  <c r="U42" i="2" s="1" a="1"/>
  <c r="Q472" i="2"/>
  <c r="U472" i="2" s="1" a="1"/>
  <c r="Q343" i="2"/>
  <c r="Q471" i="2"/>
  <c r="Q342" i="2"/>
  <c r="U342" i="2" s="1" a="1"/>
  <c r="Q456" i="2"/>
  <c r="Q326" i="2"/>
  <c r="U326" i="2" s="1" a="1"/>
  <c r="Q455" i="2"/>
  <c r="Q325" i="2"/>
  <c r="Q440" i="2"/>
  <c r="Q309" i="2"/>
  <c r="U309" i="2" s="1" a="1"/>
  <c r="Q439" i="2"/>
  <c r="U439" i="2" s="1" a="1"/>
  <c r="Q424" i="2"/>
  <c r="U424" i="2" s="1" a="1"/>
  <c r="Q274" i="2"/>
  <c r="U274" i="2" s="1" a="1"/>
  <c r="Q408" i="2"/>
  <c r="Q257" i="2"/>
  <c r="U257" i="2" s="1" a="1"/>
  <c r="Q407" i="2"/>
  <c r="U407" i="2" s="1" a="1"/>
  <c r="Q241" i="2"/>
  <c r="U241" i="2" s="1" a="1"/>
  <c r="Q392" i="2"/>
  <c r="U392" i="2" s="1" a="1"/>
  <c r="Q240" i="2"/>
  <c r="U240" i="2" s="1" a="1"/>
  <c r="Q391" i="2"/>
  <c r="Q224" i="2"/>
  <c r="U224" i="2" s="1" a="1"/>
  <c r="Q223" i="2"/>
  <c r="U223" i="2" s="1" a="1"/>
  <c r="Q196" i="2"/>
  <c r="U196" i="2" s="1" a="1"/>
  <c r="Q100" i="2"/>
  <c r="U100" i="2" s="1" a="1"/>
  <c r="Q131" i="2"/>
  <c r="U131" i="2" s="1" a="1"/>
  <c r="Q178" i="2"/>
  <c r="Q162" i="2"/>
  <c r="U162" i="2" s="1" a="1"/>
  <c r="Q146" i="2"/>
  <c r="U146" i="2" s="1" a="1"/>
  <c r="Q130" i="2"/>
  <c r="U130" i="2" s="1" a="1"/>
  <c r="Q114" i="2"/>
  <c r="U114" i="2" s="1" a="1"/>
  <c r="Q98" i="2"/>
  <c r="U98" i="2" s="1" a="1"/>
  <c r="Q82" i="2"/>
  <c r="Q66" i="2"/>
  <c r="U66" i="2" s="1" a="1"/>
  <c r="Q50" i="2"/>
  <c r="U50" i="2" s="1" a="1"/>
  <c r="Q34" i="2"/>
  <c r="U34" i="2" s="1" a="1"/>
  <c r="Q486" i="2"/>
  <c r="Q470" i="2"/>
  <c r="U470" i="2" s="1" a="1"/>
  <c r="Q454" i="2"/>
  <c r="Q438" i="2"/>
  <c r="Q422" i="2"/>
  <c r="U422" i="2" s="1" a="1"/>
  <c r="Q406" i="2"/>
  <c r="U406" i="2" s="1" a="1"/>
  <c r="Q390" i="2"/>
  <c r="U390" i="2" s="1" a="1"/>
  <c r="Q374" i="2"/>
  <c r="U374" i="2" s="1" a="1"/>
  <c r="Q358" i="2"/>
  <c r="U358" i="2" s="1" a="1"/>
  <c r="Q341" i="2"/>
  <c r="U341" i="2" s="1" a="1"/>
  <c r="Q324" i="2"/>
  <c r="U324" i="2" s="1" a="1"/>
  <c r="Q307" i="2"/>
  <c r="U307" i="2" s="1" a="1"/>
  <c r="Q290" i="2"/>
  <c r="U290" i="2" s="1" a="1"/>
  <c r="Q273" i="2"/>
  <c r="U273" i="2" s="1" a="1"/>
  <c r="Q256" i="2"/>
  <c r="Q239" i="2"/>
  <c r="U239" i="2" s="1" a="1"/>
  <c r="Q222" i="2"/>
  <c r="U222" i="2" s="1" a="1"/>
  <c r="Q203" i="2"/>
  <c r="U203" i="2" s="1" a="1"/>
  <c r="Q84" i="2"/>
  <c r="U84" i="2" s="1" a="1"/>
  <c r="Q67" i="2"/>
  <c r="U67" i="2" s="1" a="1"/>
  <c r="Q308" i="2"/>
  <c r="Q291" i="2"/>
  <c r="Q193" i="2"/>
  <c r="U193" i="2" s="1" a="1"/>
  <c r="Q177" i="2"/>
  <c r="U177" i="2" s="1" a="1"/>
  <c r="Q161" i="2"/>
  <c r="U161" i="2" s="1" a="1"/>
  <c r="Q145" i="2"/>
  <c r="U145" i="2" s="1" a="1"/>
  <c r="Q129" i="2"/>
  <c r="U129" i="2" s="1" a="1"/>
  <c r="Q113" i="2"/>
  <c r="U113" i="2" s="1" a="1"/>
  <c r="Q97" i="2"/>
  <c r="U97" i="2" s="1" a="1"/>
  <c r="Q81" i="2"/>
  <c r="U81" i="2" s="1" a="1"/>
  <c r="Q65" i="2"/>
  <c r="U65" i="2" s="1" a="1"/>
  <c r="Q49" i="2"/>
  <c r="U49" i="2" s="1" a="1"/>
  <c r="Q33" i="2"/>
  <c r="Q485" i="2"/>
  <c r="U485" i="2" s="1" a="1"/>
  <c r="Q469" i="2"/>
  <c r="U469" i="2" s="1" a="1"/>
  <c r="Q453" i="2"/>
  <c r="U453" i="2" s="1" a="1"/>
  <c r="Q437" i="2"/>
  <c r="U437" i="2" s="1" a="1"/>
  <c r="Q421" i="2"/>
  <c r="U421" i="2" s="1" a="1"/>
  <c r="Q405" i="2"/>
  <c r="Q389" i="2"/>
  <c r="U389" i="2" s="1" a="1"/>
  <c r="Q373" i="2"/>
  <c r="U373" i="2" s="1" a="1"/>
  <c r="Q357" i="2"/>
  <c r="U357" i="2" s="1" a="1"/>
  <c r="Q340" i="2"/>
  <c r="U340" i="2" s="1" a="1"/>
  <c r="Q323" i="2"/>
  <c r="U323" i="2" s="1" a="1"/>
  <c r="Q306" i="2"/>
  <c r="Q289" i="2"/>
  <c r="U289" i="2" s="1" a="1"/>
  <c r="Q272" i="2"/>
  <c r="Q255" i="2"/>
  <c r="U255" i="2" s="1" a="1"/>
  <c r="Q238" i="2"/>
  <c r="U238" i="2" s="1" a="1"/>
  <c r="Q221" i="2"/>
  <c r="U221" i="2" s="1" a="1"/>
  <c r="Q202" i="2"/>
  <c r="U202" i="2" s="1" a="1"/>
  <c r="Q52" i="2"/>
  <c r="Q195" i="2"/>
  <c r="U195" i="2" s="1" a="1"/>
  <c r="Q35" i="2"/>
  <c r="U35" i="2" s="1" a="1"/>
  <c r="Q176" i="2"/>
  <c r="U176" i="2" s="1" a="1"/>
  <c r="Q160" i="2"/>
  <c r="U160" i="2" s="1" a="1"/>
  <c r="Q144" i="2"/>
  <c r="U144" i="2" s="1" a="1"/>
  <c r="Q112" i="2"/>
  <c r="U112" i="2" s="1" a="1"/>
  <c r="Q96" i="2"/>
  <c r="U96" i="2" s="1" a="1"/>
  <c r="Q80" i="2"/>
  <c r="U80" i="2" s="1" a="1"/>
  <c r="Q48" i="2"/>
  <c r="U48" i="2" s="1" a="1"/>
  <c r="Q32" i="2"/>
  <c r="U32" i="2" s="1" a="1"/>
  <c r="Q500" i="2"/>
  <c r="Q484" i="2"/>
  <c r="U484" i="2" s="1" a="1"/>
  <c r="Q468" i="2"/>
  <c r="U468" i="2" s="1" a="1"/>
  <c r="Q452" i="2"/>
  <c r="U452" i="2" s="1" a="1"/>
  <c r="Q436" i="2"/>
  <c r="U436" i="2" s="1" a="1"/>
  <c r="Q420" i="2"/>
  <c r="U420" i="2" s="1" a="1"/>
  <c r="Q404" i="2"/>
  <c r="Q388" i="2"/>
  <c r="Q372" i="2"/>
  <c r="U372" i="2" s="1" a="1"/>
  <c r="Q356" i="2"/>
  <c r="U356" i="2" s="1" a="1"/>
  <c r="Q339" i="2"/>
  <c r="U339" i="2" s="1" a="1"/>
  <c r="Q322" i="2"/>
  <c r="U322" i="2" s="1" a="1"/>
  <c r="Q305" i="2"/>
  <c r="Q288" i="2"/>
  <c r="Q271" i="2"/>
  <c r="U271" i="2" s="1" a="1"/>
  <c r="Q254" i="2"/>
  <c r="U254" i="2" s="1" a="1"/>
  <c r="Q237" i="2"/>
  <c r="U237" i="2" s="1" a="1"/>
  <c r="Q219" i="2"/>
  <c r="U219" i="2" s="1" a="1"/>
  <c r="Q201" i="2"/>
  <c r="U201" i="2" s="1" a="1"/>
  <c r="Q148" i="2"/>
  <c r="U148" i="2" s="1" a="1"/>
  <c r="Q179" i="2"/>
  <c r="U179" i="2" s="1" a="1"/>
  <c r="Q191" i="2"/>
  <c r="U191" i="2" s="1" a="1"/>
  <c r="Q175" i="2"/>
  <c r="U175" i="2" s="1" a="1"/>
  <c r="Q159" i="2"/>
  <c r="U159" i="2" s="1" a="1"/>
  <c r="Q143" i="2"/>
  <c r="U143" i="2" s="1" a="1"/>
  <c r="Q127" i="2"/>
  <c r="U127" i="2" s="1" a="1"/>
  <c r="Q111" i="2"/>
  <c r="U111" i="2" s="1" a="1"/>
  <c r="Q95" i="2"/>
  <c r="U95" i="2" s="1" a="1"/>
  <c r="Q79" i="2"/>
  <c r="U79" i="2" s="1" a="1"/>
  <c r="Q63" i="2"/>
  <c r="U63" i="2" s="1" a="1"/>
  <c r="Q47" i="2"/>
  <c r="Q31" i="2"/>
  <c r="U31" i="2" s="1" a="1"/>
  <c r="Q499" i="2"/>
  <c r="U499" i="2" s="1" a="1"/>
  <c r="Q483" i="2"/>
  <c r="U483" i="2" s="1" a="1"/>
  <c r="Q467" i="2"/>
  <c r="U467" i="2" s="1" a="1"/>
  <c r="Q435" i="2"/>
  <c r="U435" i="2" s="1" a="1"/>
  <c r="Q419" i="2"/>
  <c r="Q403" i="2"/>
  <c r="Q387" i="2"/>
  <c r="U387" i="2" s="1" a="1"/>
  <c r="Q371" i="2"/>
  <c r="U371" i="2" s="1" a="1"/>
  <c r="Q355" i="2"/>
  <c r="U355" i="2" s="1" a="1"/>
  <c r="Q338" i="2"/>
  <c r="U338" i="2" s="1" a="1"/>
  <c r="Q321" i="2"/>
  <c r="U321" i="2" s="1" a="1"/>
  <c r="Q304" i="2"/>
  <c r="U304" i="2" s="1" a="1"/>
  <c r="Q287" i="2"/>
  <c r="U287" i="2" s="1" a="1"/>
  <c r="Q270" i="2"/>
  <c r="U270" i="2" s="1" a="1"/>
  <c r="Q253" i="2"/>
  <c r="U253" i="2" s="1" a="1"/>
  <c r="Q235" i="2"/>
  <c r="U235" i="2" s="1" a="1"/>
  <c r="Q218" i="2"/>
  <c r="Q198" i="2"/>
  <c r="U198" i="2" s="1" a="1"/>
  <c r="Q206" i="2"/>
  <c r="U206" i="2" s="1" a="1"/>
  <c r="Q190" i="2"/>
  <c r="U190" i="2" s="1" a="1"/>
  <c r="Q174" i="2"/>
  <c r="U174" i="2" s="1" a="1"/>
  <c r="Q158" i="2"/>
  <c r="U158" i="2" s="1" a="1"/>
  <c r="Q142" i="2"/>
  <c r="Q126" i="2"/>
  <c r="U126" i="2" s="1" a="1"/>
  <c r="Q110" i="2"/>
  <c r="U110" i="2" s="1" a="1"/>
  <c r="Q94" i="2"/>
  <c r="U94" i="2" s="1" a="1"/>
  <c r="Q78" i="2"/>
  <c r="U78" i="2" s="1" a="1"/>
  <c r="Q62" i="2"/>
  <c r="U62" i="2" s="1" a="1"/>
  <c r="Q46" i="2"/>
  <c r="U46" i="2" s="1" a="1"/>
  <c r="Q30" i="2"/>
  <c r="U30" i="2" s="1" a="1"/>
  <c r="Q498" i="2"/>
  <c r="U498" i="2" s="1" a="1"/>
  <c r="Q482" i="2"/>
  <c r="U482" i="2" s="1" a="1"/>
  <c r="Q466" i="2"/>
  <c r="U466" i="2" s="1" a="1"/>
  <c r="Q450" i="2"/>
  <c r="U450" i="2" s="1" a="1"/>
  <c r="Q434" i="2"/>
  <c r="Q418" i="2"/>
  <c r="U418" i="2" s="1" a="1"/>
  <c r="Q402" i="2"/>
  <c r="U402" i="2" s="1" a="1"/>
  <c r="Q386" i="2"/>
  <c r="U386" i="2" s="1" a="1"/>
  <c r="Q370" i="2"/>
  <c r="U370" i="2" s="1" a="1"/>
  <c r="Q354" i="2"/>
  <c r="U354" i="2" s="1" a="1"/>
  <c r="Q337" i="2"/>
  <c r="Q320" i="2"/>
  <c r="U320" i="2" s="1" a="1"/>
  <c r="Q303" i="2"/>
  <c r="U303" i="2" s="1" a="1"/>
  <c r="Q286" i="2"/>
  <c r="U286" i="2" s="1" a="1"/>
  <c r="Q251" i="2"/>
  <c r="U251" i="2" s="1" a="1"/>
  <c r="Q234" i="2"/>
  <c r="U234" i="2" s="1" a="1"/>
  <c r="Q194" i="2"/>
  <c r="Q132" i="2"/>
  <c r="Q163" i="2"/>
  <c r="U163" i="2" s="1" a="1"/>
  <c r="Q189" i="2"/>
  <c r="U189" i="2" s="1" a="1"/>
  <c r="Q173" i="2"/>
  <c r="U173" i="2" s="1" a="1"/>
  <c r="Q157" i="2"/>
  <c r="U157" i="2" s="1" a="1"/>
  <c r="Q141" i="2"/>
  <c r="U141" i="2" s="1" a="1"/>
  <c r="Q125" i="2"/>
  <c r="Q109" i="2"/>
  <c r="U109" i="2" s="1" a="1"/>
  <c r="Q93" i="2"/>
  <c r="U93" i="2" s="1" a="1"/>
  <c r="Q77" i="2"/>
  <c r="U77" i="2" s="1" a="1"/>
  <c r="Q61" i="2"/>
  <c r="U61" i="2" s="1" a="1"/>
  <c r="Q45" i="2"/>
  <c r="U45" i="2" s="1" a="1"/>
  <c r="Q29" i="2"/>
  <c r="U29" i="2" s="1" a="1"/>
  <c r="Q497" i="2"/>
  <c r="U497" i="2" s="1" a="1"/>
  <c r="Q481" i="2"/>
  <c r="U481" i="2" s="1" a="1"/>
  <c r="Q449" i="2"/>
  <c r="Q433" i="2"/>
  <c r="U433" i="2" s="1" a="1"/>
  <c r="Q417" i="2"/>
  <c r="Q401" i="2"/>
  <c r="U401" i="2" s="1" a="1"/>
  <c r="Q385" i="2"/>
  <c r="U385" i="2" s="1" a="1"/>
  <c r="Q369" i="2"/>
  <c r="U369" i="2" s="1" a="1"/>
  <c r="Q353" i="2"/>
  <c r="U353" i="2" s="1" a="1"/>
  <c r="Q336" i="2"/>
  <c r="U336" i="2" s="1" a="1"/>
  <c r="Q319" i="2"/>
  <c r="Q302" i="2"/>
  <c r="Q285" i="2"/>
  <c r="U285" i="2" s="1" a="1"/>
  <c r="Q267" i="2"/>
  <c r="U267" i="2" s="1" a="1"/>
  <c r="Q250" i="2"/>
  <c r="U250" i="2" s="1" a="1"/>
  <c r="Q233" i="2"/>
  <c r="U233" i="2" s="1" a="1"/>
  <c r="Q216" i="2"/>
  <c r="Q186" i="2"/>
  <c r="U186" i="2" s="1" a="1"/>
  <c r="Q115" i="2"/>
  <c r="U115" i="2" s="1" a="1"/>
  <c r="Q348" i="2"/>
  <c r="U348" i="2" s="1" a="1"/>
  <c r="Q332" i="2"/>
  <c r="U332" i="2" s="1" a="1"/>
  <c r="Q316" i="2"/>
  <c r="U316" i="2" s="1" a="1"/>
  <c r="Q300" i="2"/>
  <c r="Q284" i="2"/>
  <c r="Q268" i="2"/>
  <c r="U268" i="2" s="1" a="1"/>
  <c r="Q252" i="2"/>
  <c r="U252" i="2" s="1" a="1"/>
  <c r="Q236" i="2"/>
  <c r="U236" i="2" s="1" a="1"/>
  <c r="Q220" i="2"/>
  <c r="U220" i="2" s="1" a="1"/>
  <c r="Q188" i="2"/>
  <c r="U188" i="2" s="1" a="1"/>
  <c r="Q172" i="2"/>
  <c r="U172" i="2" s="1" a="1"/>
  <c r="Q156" i="2"/>
  <c r="U156" i="2" s="1" a="1"/>
  <c r="Q124" i="2"/>
  <c r="U124" i="2" s="1" a="1"/>
  <c r="Q108" i="2"/>
  <c r="U108" i="2" s="1" a="1"/>
  <c r="Q92" i="2"/>
  <c r="U92" i="2" s="1" a="1"/>
  <c r="Q60" i="2"/>
  <c r="Q44" i="2"/>
  <c r="U44" i="2" s="1" a="1"/>
  <c r="Q28" i="2"/>
  <c r="U28" i="2" s="1" a="1"/>
  <c r="Q496" i="2"/>
  <c r="U496" i="2" s="1" a="1"/>
  <c r="Q464" i="2"/>
  <c r="U464" i="2" s="1" a="1"/>
  <c r="Q448" i="2"/>
  <c r="U448" i="2" s="1" a="1"/>
  <c r="Q432" i="2"/>
  <c r="Q416" i="2"/>
  <c r="Q400" i="2"/>
  <c r="U400" i="2" s="1" a="1"/>
  <c r="Q384" i="2"/>
  <c r="U384" i="2" s="1" a="1"/>
  <c r="Q368" i="2"/>
  <c r="U368" i="2" s="1" a="1"/>
  <c r="Q352" i="2"/>
  <c r="U352" i="2" s="1" a="1"/>
  <c r="Q335" i="2"/>
  <c r="U335" i="2" s="1" a="1"/>
  <c r="Q318" i="2"/>
  <c r="U318" i="2" s="1" a="1"/>
  <c r="Q301" i="2"/>
  <c r="U301" i="2" s="1" a="1"/>
  <c r="Q283" i="2"/>
  <c r="U283" i="2" s="1" a="1"/>
  <c r="Q266" i="2"/>
  <c r="U266" i="2" s="1" a="1"/>
  <c r="Q249" i="2"/>
  <c r="U249" i="2" s="1" a="1"/>
  <c r="Q232" i="2"/>
  <c r="U232" i="2" s="1" a="1"/>
  <c r="Q215" i="2"/>
  <c r="U215" i="2" s="1" a="1"/>
  <c r="Q170" i="2"/>
  <c r="U170" i="2" s="1" a="1"/>
  <c r="Q116" i="2"/>
  <c r="U116" i="2" s="1" a="1"/>
  <c r="Q36" i="2"/>
  <c r="U36" i="2" s="1" a="1"/>
  <c r="Q83" i="2"/>
  <c r="U83" i="2" s="1" a="1"/>
  <c r="Q187" i="2"/>
  <c r="U187" i="2" s="1" a="1"/>
  <c r="Q171" i="2"/>
  <c r="Q155" i="2"/>
  <c r="U155" i="2" s="1" a="1"/>
  <c r="Q139" i="2"/>
  <c r="U139" i="2" s="1" a="1"/>
  <c r="Q123" i="2"/>
  <c r="U123" i="2" s="1" a="1"/>
  <c r="Q107" i="2"/>
  <c r="U107" i="2" s="1" a="1"/>
  <c r="Q91" i="2"/>
  <c r="U91" i="2" s="1" a="1"/>
  <c r="Q75" i="2"/>
  <c r="U75" i="2" s="1" a="1"/>
  <c r="Q59" i="2"/>
  <c r="U59" i="2" s="1" a="1"/>
  <c r="Q43" i="2"/>
  <c r="U43" i="2" s="1" a="1"/>
  <c r="Q27" i="2"/>
  <c r="U27" i="2" s="1" a="1"/>
  <c r="Q495" i="2"/>
  <c r="U495" i="2" s="1" a="1"/>
  <c r="Q479" i="2"/>
  <c r="Q463" i="2"/>
  <c r="U463" i="2" s="1" a="1"/>
  <c r="Q447" i="2"/>
  <c r="U447" i="2" s="1" a="1"/>
  <c r="Q431" i="2"/>
  <c r="U431" i="2" s="1" a="1"/>
  <c r="Q415" i="2"/>
  <c r="U415" i="2" s="1" a="1"/>
  <c r="Q399" i="2"/>
  <c r="U399" i="2" s="1" a="1"/>
  <c r="Q383" i="2"/>
  <c r="Q367" i="2"/>
  <c r="U367" i="2" s="1" a="1"/>
  <c r="Q351" i="2"/>
  <c r="U351" i="2" s="1" a="1"/>
  <c r="Q334" i="2"/>
  <c r="U334" i="2" s="1" a="1"/>
  <c r="Q317" i="2"/>
  <c r="U317" i="2" s="1" a="1"/>
  <c r="Q299" i="2"/>
  <c r="U299" i="2" s="1" a="1"/>
  <c r="Q265" i="2"/>
  <c r="U265" i="2" s="1" a="1"/>
  <c r="Q248" i="2"/>
  <c r="Q214" i="2"/>
  <c r="U214" i="2" s="1" a="1"/>
  <c r="Q154" i="2"/>
  <c r="U154" i="2" s="1" a="1"/>
  <c r="Q147" i="2"/>
  <c r="U147" i="2" s="1" a="1"/>
  <c r="Q478" i="2"/>
  <c r="U478" i="2" s="1" a="1"/>
  <c r="Q462" i="2"/>
  <c r="Q446" i="2"/>
  <c r="Q430" i="2"/>
  <c r="U430" i="2" s="1" a="1"/>
  <c r="Q414" i="2"/>
  <c r="U414" i="2" s="1" a="1"/>
  <c r="Q398" i="2"/>
  <c r="U398" i="2" s="1" a="1"/>
  <c r="Q382" i="2"/>
  <c r="U382" i="2" s="1" a="1"/>
  <c r="Q366" i="2"/>
  <c r="U366" i="2" s="1" a="1"/>
  <c r="Q350" i="2"/>
  <c r="U350" i="2" s="1" a="1"/>
  <c r="Q333" i="2"/>
  <c r="U333" i="2" s="1" a="1"/>
  <c r="Q315" i="2"/>
  <c r="U315" i="2" s="1" a="1"/>
  <c r="Q298" i="2"/>
  <c r="U298" i="2" s="1" a="1"/>
  <c r="Q281" i="2"/>
  <c r="U281" i="2" s="1" a="1"/>
  <c r="Q264" i="2"/>
  <c r="Q247" i="2"/>
  <c r="Q230" i="2"/>
  <c r="U230" i="2" s="1" a="1"/>
  <c r="Q213" i="2"/>
  <c r="U213" i="2" s="1" a="1"/>
  <c r="Q138" i="2"/>
  <c r="U138" i="2" s="1" a="1"/>
  <c r="Q180" i="2"/>
  <c r="U180" i="2" s="1" a="1"/>
  <c r="Q51" i="2"/>
  <c r="U51" i="2" s="1" a="1"/>
  <c r="Q185" i="2"/>
  <c r="U185" i="2" s="1" a="1"/>
  <c r="Q169" i="2"/>
  <c r="U169" i="2" s="1" a="1"/>
  <c r="Q137" i="2"/>
  <c r="U137" i="2" s="1" a="1"/>
  <c r="Q121" i="2"/>
  <c r="U121" i="2" s="1" a="1"/>
  <c r="Q105" i="2"/>
  <c r="U105" i="2" s="1" a="1"/>
  <c r="Q73" i="2"/>
  <c r="U73" i="2" s="1" a="1"/>
  <c r="Q57" i="2"/>
  <c r="U57" i="2" s="1" a="1"/>
  <c r="Q41" i="2"/>
  <c r="U41" i="2" s="1" a="1"/>
  <c r="Q493" i="2"/>
  <c r="U493" i="2" s="1" a="1"/>
  <c r="Q477" i="2"/>
  <c r="U477" i="2" s="1" a="1"/>
  <c r="Q461" i="2"/>
  <c r="U461" i="2" s="1" a="1"/>
  <c r="Q445" i="2"/>
  <c r="Q429" i="2"/>
  <c r="Q413" i="2"/>
  <c r="U413" i="2" s="1" a="1"/>
  <c r="Q397" i="2"/>
  <c r="U397" i="2" s="1" a="1"/>
  <c r="Q381" i="2"/>
  <c r="U381" i="2" s="1" a="1"/>
  <c r="Q365" i="2"/>
  <c r="U365" i="2" s="1" a="1"/>
  <c r="Q349" i="2"/>
  <c r="Q331" i="2"/>
  <c r="U331" i="2" s="1" a="1"/>
  <c r="Q314" i="2"/>
  <c r="U314" i="2" s="1" a="1"/>
  <c r="Q297" i="2"/>
  <c r="U297" i="2" s="1" a="1"/>
  <c r="Q280" i="2"/>
  <c r="U280" i="2" s="1" a="1"/>
  <c r="Q263" i="2"/>
  <c r="U263" i="2" s="1" a="1"/>
  <c r="Q246" i="2"/>
  <c r="U246" i="2" s="1" a="1"/>
  <c r="Q229" i="2"/>
  <c r="U229" i="2" s="1" a="1"/>
  <c r="Q212" i="2"/>
  <c r="U212" i="2" s="1" a="1"/>
  <c r="Q122" i="2"/>
  <c r="U122" i="2" s="1" a="1"/>
  <c r="Q164" i="2"/>
  <c r="U164" i="2" s="1" a="1"/>
  <c r="Q99" i="2"/>
  <c r="U99" i="2" s="1" a="1"/>
  <c r="Q200" i="2"/>
  <c r="U200" i="2" s="1" a="1"/>
  <c r="Q184" i="2"/>
  <c r="U184" i="2" s="1" a="1"/>
  <c r="Q168" i="2"/>
  <c r="U168" i="2" s="1" a="1"/>
  <c r="Q152" i="2"/>
  <c r="U152" i="2" s="1" a="1"/>
  <c r="Q136" i="2"/>
  <c r="U136" i="2" s="1" a="1"/>
  <c r="Q120" i="2"/>
  <c r="U120" i="2" s="1" a="1"/>
  <c r="Q104" i="2"/>
  <c r="U104" i="2" s="1" a="1"/>
  <c r="Q88" i="2"/>
  <c r="U88" i="2" s="1" a="1"/>
  <c r="Q72" i="2"/>
  <c r="U72" i="2" s="1" a="1"/>
  <c r="Q56" i="2"/>
  <c r="U56" i="2" s="1" a="1"/>
  <c r="Q40" i="2"/>
  <c r="U40" i="2" s="1" a="1"/>
  <c r="Q492" i="2"/>
  <c r="U492" i="2" s="1" a="1"/>
  <c r="Q476" i="2"/>
  <c r="Q460" i="2"/>
  <c r="U460" i="2" s="1" a="1"/>
  <c r="Q444" i="2"/>
  <c r="U444" i="2" s="1" a="1"/>
  <c r="Q428" i="2"/>
  <c r="U428" i="2" s="1" a="1"/>
  <c r="Q412" i="2"/>
  <c r="U412" i="2" s="1" a="1"/>
  <c r="Q396" i="2"/>
  <c r="U396" i="2" s="1" a="1"/>
  <c r="Q364" i="2"/>
  <c r="Q347" i="2"/>
  <c r="Q330" i="2"/>
  <c r="U330" i="2" s="1" a="1"/>
  <c r="Q313" i="2"/>
  <c r="U313" i="2" s="1" a="1"/>
  <c r="Q296" i="2"/>
  <c r="U296" i="2" s="1" a="1"/>
  <c r="Q279" i="2"/>
  <c r="U279" i="2" s="1" a="1"/>
  <c r="Q262" i="2"/>
  <c r="Q245" i="2"/>
  <c r="U245" i="2" s="1" a="1"/>
  <c r="Q228" i="2"/>
  <c r="U228" i="2" s="1" a="1"/>
  <c r="Q211" i="2"/>
  <c r="U211" i="2" s="1" a="1"/>
  <c r="Q106" i="2"/>
  <c r="U106" i="2" s="1" a="1"/>
  <c r="Q292" i="2"/>
  <c r="U292" i="2" s="1" a="1"/>
  <c r="Q199" i="2"/>
  <c r="U199" i="2" s="1" a="1"/>
  <c r="Q183" i="2"/>
  <c r="U183" i="2" s="1" a="1"/>
  <c r="Q167" i="2"/>
  <c r="U167" i="2" s="1" a="1"/>
  <c r="Q151" i="2"/>
  <c r="U151" i="2" s="1" a="1"/>
  <c r="Q135" i="2"/>
  <c r="U135" i="2" s="1" a="1"/>
  <c r="Q119" i="2"/>
  <c r="U119" i="2" s="1" a="1"/>
  <c r="Q103" i="2"/>
  <c r="U103" i="2" s="1" a="1"/>
  <c r="Q87" i="2"/>
  <c r="U87" i="2" s="1" a="1"/>
  <c r="Q71" i="2"/>
  <c r="U71" i="2" s="1" a="1"/>
  <c r="Q55" i="2"/>
  <c r="U55" i="2" s="1" a="1"/>
  <c r="Q39" i="2"/>
  <c r="U39" i="2" s="1" a="1"/>
  <c r="Q491" i="2"/>
  <c r="U491" i="2" s="1" a="1"/>
  <c r="Q475" i="2"/>
  <c r="U475" i="2" s="1" a="1"/>
  <c r="Q459" i="2"/>
  <c r="Q443" i="2"/>
  <c r="U443" i="2" s="1" a="1"/>
  <c r="Q427" i="2"/>
  <c r="U427" i="2" s="1" a="1"/>
  <c r="Q411" i="2"/>
  <c r="U411" i="2" s="1" a="1"/>
  <c r="Q395" i="2"/>
  <c r="U395" i="2" s="1" a="1"/>
  <c r="Q379" i="2"/>
  <c r="Q363" i="2"/>
  <c r="Q346" i="2"/>
  <c r="U346" i="2" s="1" a="1"/>
  <c r="Q329" i="2"/>
  <c r="U329" i="2" s="1" a="1"/>
  <c r="Q312" i="2"/>
  <c r="U312" i="2" s="1" a="1"/>
  <c r="Q295" i="2"/>
  <c r="U295" i="2" s="1" a="1"/>
  <c r="Q278" i="2"/>
  <c r="U278" i="2" s="1" a="1"/>
  <c r="Q261" i="2"/>
  <c r="U261" i="2" s="1" a="1"/>
  <c r="Q244" i="2"/>
  <c r="U244" i="2" s="1" a="1"/>
  <c r="Q227" i="2"/>
  <c r="U227" i="2" s="1" a="1"/>
  <c r="Q210" i="2"/>
  <c r="U210" i="2" s="1" a="1"/>
  <c r="Q90" i="2"/>
  <c r="U90" i="2" s="1" a="1"/>
  <c r="Q68" i="2"/>
  <c r="U68" i="2" s="1" a="1"/>
  <c r="Q182" i="2"/>
  <c r="Q150" i="2"/>
  <c r="U150" i="2" s="1" a="1"/>
  <c r="Q134" i="2"/>
  <c r="U134" i="2" s="1" a="1"/>
  <c r="Q118" i="2"/>
  <c r="U118" i="2" s="1" a="1"/>
  <c r="Q86" i="2"/>
  <c r="U86" i="2" s="1" a="1"/>
  <c r="Q70" i="2"/>
  <c r="U70" i="2" s="1" a="1"/>
  <c r="Q54" i="2"/>
  <c r="U54" i="2" s="1" a="1"/>
  <c r="Q490" i="2"/>
  <c r="U490" i="2" s="1" a="1"/>
  <c r="Q474" i="2"/>
  <c r="U474" i="2" s="1" a="1"/>
  <c r="Q458" i="2"/>
  <c r="U458" i="2" s="1" a="1"/>
  <c r="Q442" i="2"/>
  <c r="U442" i="2" s="1" a="1"/>
  <c r="Q426" i="2"/>
  <c r="Q410" i="2"/>
  <c r="Q378" i="2"/>
  <c r="U378" i="2" s="1" a="1"/>
  <c r="Q362" i="2"/>
  <c r="U362" i="2" s="1" a="1"/>
  <c r="Q345" i="2"/>
  <c r="U345" i="2" s="1" a="1"/>
  <c r="Q328" i="2"/>
  <c r="U328" i="2" s="1" a="1"/>
  <c r="Q311" i="2"/>
  <c r="Q294" i="2"/>
  <c r="U294" i="2" s="1" a="1"/>
  <c r="Q277" i="2"/>
  <c r="U277" i="2" s="1" a="1"/>
  <c r="Q260" i="2"/>
  <c r="U260" i="2" s="1" a="1"/>
  <c r="Q226" i="2"/>
  <c r="U226" i="2" s="1" a="1"/>
  <c r="Q209" i="2"/>
  <c r="U209" i="2" s="1" a="1"/>
  <c r="Q74" i="2"/>
  <c r="U74" i="2" s="1" a="1"/>
  <c r="Q197" i="2"/>
  <c r="U197" i="2" s="1" a="1"/>
  <c r="Q181" i="2"/>
  <c r="U181" i="2" s="1" a="1"/>
  <c r="Q165" i="2"/>
  <c r="U165" i="2" s="1" a="1"/>
  <c r="Q149" i="2"/>
  <c r="U149" i="2" s="1" a="1"/>
  <c r="Q133" i="2"/>
  <c r="U133" i="2" s="1" a="1"/>
  <c r="Q117" i="2"/>
  <c r="U117" i="2" s="1" a="1"/>
  <c r="Q101" i="2"/>
  <c r="U101" i="2" s="1" a="1"/>
  <c r="Q85" i="2"/>
  <c r="U85" i="2" s="1" a="1"/>
  <c r="Q69" i="2"/>
  <c r="U69" i="2" s="1" a="1"/>
  <c r="Q53" i="2"/>
  <c r="U53" i="2" s="1" a="1"/>
  <c r="Q37" i="2"/>
  <c r="U37" i="2" s="1" a="1"/>
  <c r="Q489" i="2"/>
  <c r="Q473" i="2"/>
  <c r="U473" i="2" s="1" a="1"/>
  <c r="Q457" i="2"/>
  <c r="U457" i="2" s="1" a="1"/>
  <c r="Q441" i="2"/>
  <c r="U441" i="2" s="1" a="1"/>
  <c r="Q425" i="2"/>
  <c r="U425" i="2" s="1" a="1"/>
  <c r="Q409" i="2"/>
  <c r="U409" i="2" s="1" a="1"/>
  <c r="Q393" i="2"/>
  <c r="U393" i="2" s="1" a="1"/>
  <c r="Q377" i="2"/>
  <c r="U377" i="2" s="1" a="1"/>
  <c r="Q361" i="2"/>
  <c r="U361" i="2" s="1" a="1"/>
  <c r="Q344" i="2"/>
  <c r="Q327" i="2"/>
  <c r="U327" i="2" s="1" a="1"/>
  <c r="Q310" i="2"/>
  <c r="U310" i="2" s="1" a="1"/>
  <c r="Q293" i="2"/>
  <c r="Q276" i="2"/>
  <c r="U276" i="2" s="1" a="1"/>
  <c r="Q259" i="2"/>
  <c r="U259" i="2" s="1" a="1"/>
  <c r="Q242" i="2"/>
  <c r="U242" i="2" s="1" a="1"/>
  <c r="Q225" i="2"/>
  <c r="U225" i="2" s="1" a="1"/>
  <c r="Q208" i="2"/>
  <c r="U208" i="2" s="1" a="1"/>
  <c r="Q58" i="2"/>
  <c r="H11" i="8"/>
  <c r="B11" i="8"/>
  <c r="C11" i="8"/>
  <c r="D11" i="8"/>
  <c r="G11" i="8"/>
  <c r="U82" i="2" a="1"/>
  <c r="U306" i="2" a="1"/>
  <c r="U47" i="2" a="1"/>
  <c r="U194" i="2" a="1"/>
  <c r="U449" i="2" a="1"/>
  <c r="U60" i="2" a="1"/>
  <c r="U132" i="2" a="1"/>
  <c r="U248" i="2" a="1"/>
  <c r="U459" i="2" a="1"/>
  <c r="U476" i="2" a="1"/>
  <c r="U293" i="2" a="1"/>
  <c r="U404" i="2" a="1"/>
  <c r="U171" i="2" a="1"/>
  <c r="U347" i="2" a="1"/>
  <c r="U216" i="2" a="1"/>
  <c r="U343" i="2" a="1"/>
  <c r="U256" i="2" a="1"/>
  <c r="U272" i="2" a="1"/>
  <c r="U500" i="2" a="1"/>
  <c r="U218" i="2" a="1"/>
  <c r="U417" i="2" a="1"/>
  <c r="U264" i="2" a="1"/>
  <c r="U344" i="2" a="1"/>
  <c r="U471" i="2" a="1"/>
  <c r="U247" i="2" a="1"/>
  <c r="U182" i="2" a="1"/>
  <c r="U325" i="2" a="1"/>
  <c r="U142" i="2" a="1"/>
  <c r="U465" i="2" a="1"/>
  <c r="U391" i="2" a="1"/>
  <c r="U486" i="2" a="1"/>
  <c r="U33" i="2" a="1"/>
  <c r="U434" i="2" a="1"/>
  <c r="U300" i="2" a="1"/>
  <c r="U479" i="2" a="1"/>
  <c r="U445" i="2" a="1"/>
  <c r="U311" i="2" a="1"/>
  <c r="U319" i="2" a="1"/>
  <c r="U364" i="2" a="1"/>
  <c r="U26" i="2" a="1"/>
  <c r="U262" i="2" a="1"/>
  <c r="U456" i="2" a="1"/>
  <c r="U284" i="2" a="1"/>
  <c r="U429" i="2" a="1"/>
  <c r="U363" i="2" a="1"/>
  <c r="U480" i="2" a="1"/>
  <c r="U128" i="2" a="1"/>
  <c r="U376" i="2" a="1"/>
  <c r="U454" i="2" a="1"/>
  <c r="U419" i="2" a="1"/>
  <c r="U432" i="2" a="1"/>
  <c r="U462" i="2" a="1"/>
  <c r="U379" i="2" a="1"/>
  <c r="U489" i="2" a="1"/>
  <c r="U446" i="2" a="1"/>
  <c r="U58" i="2" a="1"/>
  <c r="U383" i="2" a="1"/>
  <c r="U426" i="2" a="1"/>
  <c r="U89" i="2" a="1"/>
  <c r="U275" i="2" a="1"/>
  <c r="U455" i="2" a="1"/>
  <c r="U438" i="2" a="1"/>
  <c r="U52" i="2" a="1"/>
  <c r="U403" i="2" a="1"/>
  <c r="U125" i="2" a="1"/>
  <c r="U416" i="2" a="1"/>
  <c r="U308" i="2" a="1"/>
  <c r="U305" i="2" a="1"/>
  <c r="U410" i="2" a="1"/>
  <c r="U440" i="2" a="1"/>
  <c r="U291" i="2" a="1"/>
  <c r="U388" i="2" a="1"/>
  <c r="U302" i="2" a="1"/>
  <c r="U375" i="2" a="1"/>
  <c r="U178" i="2" a="1"/>
  <c r="U405" i="2" a="1"/>
  <c r="U337" i="2" a="1"/>
  <c r="U349" i="2" a="1"/>
  <c r="U408" i="2" a="1"/>
  <c r="U288" i="2" a="1"/>
  <c r="U140" i="2" a="1"/>
  <c r="U38" i="2" a="1"/>
  <c r="U269" i="2" a="1"/>
  <c r="H25" i="2" l="1" a="1"/>
  <c r="H25" i="2" s="1"/>
  <c r="I25" i="2" s="1"/>
  <c r="H190" i="2" a="1"/>
  <c r="H190" i="2" s="1"/>
  <c r="I190" i="2" s="1"/>
  <c r="H159" i="2" a="1"/>
  <c r="H159" i="2" s="1"/>
  <c r="I159" i="2" s="1"/>
  <c r="H226" i="2" a="1"/>
  <c r="H226" i="2" s="1"/>
  <c r="I226" i="2" s="1"/>
  <c r="H224" i="2" a="1"/>
  <c r="H224" i="2" s="1"/>
  <c r="I224" i="2" s="1"/>
  <c r="H107" i="2" a="1"/>
  <c r="H107" i="2" s="1"/>
  <c r="I107" i="2" s="1"/>
  <c r="H111" i="2" a="1"/>
  <c r="H111" i="2" s="1"/>
  <c r="I111" i="2" s="1"/>
  <c r="H54" i="2" a="1"/>
  <c r="H54" i="2" s="1"/>
  <c r="I54" i="2" s="1"/>
  <c r="U231" i="2"/>
  <c r="U204" i="2"/>
  <c r="U269" i="2"/>
  <c r="U38" i="2"/>
  <c r="U234" i="2"/>
  <c r="U140" i="2"/>
  <c r="U263" i="2"/>
  <c r="U288" i="2"/>
  <c r="U361" i="2"/>
  <c r="U91" i="2"/>
  <c r="U408" i="2"/>
  <c r="U442" i="2"/>
  <c r="U55" i="2"/>
  <c r="U279" i="2"/>
  <c r="U88" i="2"/>
  <c r="U297" i="2"/>
  <c r="U105" i="2"/>
  <c r="U350" i="2"/>
  <c r="U334" i="2"/>
  <c r="U107" i="2"/>
  <c r="U318" i="2"/>
  <c r="U124" i="2"/>
  <c r="U233" i="2"/>
  <c r="U29" i="2"/>
  <c r="U286" i="2"/>
  <c r="U62" i="2"/>
  <c r="U304" i="2"/>
  <c r="U95" i="2"/>
  <c r="U322" i="2"/>
  <c r="U112" i="2"/>
  <c r="U357" i="2"/>
  <c r="U145" i="2"/>
  <c r="U341" i="2"/>
  <c r="U130" i="2"/>
  <c r="U274" i="2"/>
  <c r="U360" i="2"/>
  <c r="U56" i="2"/>
  <c r="U30" i="2"/>
  <c r="U98" i="2"/>
  <c r="U73" i="2"/>
  <c r="U340" i="2"/>
  <c r="U165" i="2"/>
  <c r="U393" i="2"/>
  <c r="U278" i="2"/>
  <c r="U71" i="2"/>
  <c r="U296" i="2"/>
  <c r="U104" i="2"/>
  <c r="U314" i="2"/>
  <c r="U121" i="2"/>
  <c r="U366" i="2"/>
  <c r="U351" i="2"/>
  <c r="U123" i="2"/>
  <c r="U335" i="2"/>
  <c r="U156" i="2"/>
  <c r="U250" i="2"/>
  <c r="U45" i="2"/>
  <c r="U303" i="2"/>
  <c r="U78" i="2"/>
  <c r="U321" i="2"/>
  <c r="U111" i="2"/>
  <c r="U339" i="2"/>
  <c r="U144" i="2"/>
  <c r="U373" i="2"/>
  <c r="U161" i="2"/>
  <c r="U358" i="2"/>
  <c r="U146" i="2"/>
  <c r="U424" i="2"/>
  <c r="U488" i="2"/>
  <c r="U423" i="2"/>
  <c r="U491" i="2"/>
  <c r="U186" i="2"/>
  <c r="U323" i="2"/>
  <c r="U317" i="2"/>
  <c r="U324" i="2"/>
  <c r="U377" i="2"/>
  <c r="U261" i="2"/>
  <c r="U181" i="2"/>
  <c r="U458" i="2"/>
  <c r="U409" i="2"/>
  <c r="U197" i="2"/>
  <c r="U474" i="2"/>
  <c r="U295" i="2"/>
  <c r="U87" i="2"/>
  <c r="U313" i="2"/>
  <c r="U120" i="2"/>
  <c r="U331" i="2"/>
  <c r="U137" i="2"/>
  <c r="U382" i="2"/>
  <c r="U367" i="2"/>
  <c r="U139" i="2"/>
  <c r="U352" i="2"/>
  <c r="U172" i="2"/>
  <c r="U267" i="2"/>
  <c r="U61" i="2"/>
  <c r="U320" i="2"/>
  <c r="U94" i="2"/>
  <c r="U338" i="2"/>
  <c r="U127" i="2"/>
  <c r="U356" i="2"/>
  <c r="U160" i="2"/>
  <c r="U389" i="2"/>
  <c r="U177" i="2"/>
  <c r="U374" i="2"/>
  <c r="U162" i="2"/>
  <c r="U439" i="2"/>
  <c r="U207" i="2"/>
  <c r="U380" i="2"/>
  <c r="U57" i="2"/>
  <c r="U307" i="2"/>
  <c r="U251" i="2"/>
  <c r="U349" i="2"/>
  <c r="U368" i="2"/>
  <c r="U188" i="2"/>
  <c r="U285" i="2"/>
  <c r="U77" i="2"/>
  <c r="U337" i="2"/>
  <c r="U110" i="2"/>
  <c r="U355" i="2"/>
  <c r="U143" i="2"/>
  <c r="U372" i="2"/>
  <c r="U176" i="2"/>
  <c r="U405" i="2"/>
  <c r="U193" i="2"/>
  <c r="U390" i="2"/>
  <c r="U178" i="2"/>
  <c r="U309" i="2"/>
  <c r="U375" i="2"/>
  <c r="U243" i="2"/>
  <c r="U282" i="2"/>
  <c r="U283" i="2"/>
  <c r="U359" i="2"/>
  <c r="U497" i="2"/>
  <c r="U365" i="2"/>
  <c r="U302" i="2"/>
  <c r="U93" i="2"/>
  <c r="U354" i="2"/>
  <c r="U126" i="2"/>
  <c r="U371" i="2"/>
  <c r="U159" i="2"/>
  <c r="U388" i="2"/>
  <c r="U35" i="2"/>
  <c r="U421" i="2"/>
  <c r="U291" i="2"/>
  <c r="U406" i="2"/>
  <c r="U131" i="2"/>
  <c r="U440" i="2"/>
  <c r="U205" i="2"/>
  <c r="U410" i="2"/>
  <c r="U481" i="2"/>
  <c r="U280" i="2"/>
  <c r="U305" i="2"/>
  <c r="U330" i="2"/>
  <c r="U135" i="2"/>
  <c r="U175" i="2"/>
  <c r="U258" i="2"/>
  <c r="U64" i="2"/>
  <c r="U301" i="2"/>
  <c r="U487" i="2"/>
  <c r="U312" i="2"/>
  <c r="U54" i="2"/>
  <c r="U220" i="2"/>
  <c r="U168" i="2"/>
  <c r="U370" i="2"/>
  <c r="U308" i="2"/>
  <c r="U396" i="2"/>
  <c r="U431" i="2"/>
  <c r="U416" i="2"/>
  <c r="U336" i="2"/>
  <c r="U125" i="2"/>
  <c r="U386" i="2"/>
  <c r="U158" i="2"/>
  <c r="U403" i="2"/>
  <c r="U191" i="2"/>
  <c r="U420" i="2"/>
  <c r="U52" i="2"/>
  <c r="U453" i="2"/>
  <c r="U67" i="2"/>
  <c r="U438" i="2"/>
  <c r="U196" i="2"/>
  <c r="U455" i="2"/>
  <c r="U275" i="2"/>
  <c r="U227" i="2"/>
  <c r="U315" i="2"/>
  <c r="U63" i="2"/>
  <c r="U89" i="2"/>
  <c r="U426" i="2"/>
  <c r="U333" i="2"/>
  <c r="U46" i="2"/>
  <c r="U129" i="2"/>
  <c r="U74" i="2"/>
  <c r="U383" i="2"/>
  <c r="U119" i="2"/>
  <c r="U384" i="2"/>
  <c r="U58" i="2"/>
  <c r="U70" i="2"/>
  <c r="U51" i="2"/>
  <c r="U400" i="2"/>
  <c r="U387" i="2"/>
  <c r="U451" i="2"/>
  <c r="U473" i="2"/>
  <c r="U86" i="2"/>
  <c r="U151" i="2"/>
  <c r="U397" i="2"/>
  <c r="U446" i="2"/>
  <c r="U83" i="2"/>
  <c r="U225" i="2"/>
  <c r="U489" i="2"/>
  <c r="U277" i="2"/>
  <c r="U118" i="2"/>
  <c r="U379" i="2"/>
  <c r="U167" i="2"/>
  <c r="U412" i="2"/>
  <c r="U200" i="2"/>
  <c r="U413" i="2"/>
  <c r="U138" i="2"/>
  <c r="U462" i="2"/>
  <c r="U447" i="2"/>
  <c r="U36" i="2"/>
  <c r="U432" i="2"/>
  <c r="U268" i="2"/>
  <c r="U353" i="2"/>
  <c r="U141" i="2"/>
  <c r="U402" i="2"/>
  <c r="U174" i="2"/>
  <c r="U419" i="2"/>
  <c r="U179" i="2"/>
  <c r="U436" i="2"/>
  <c r="U202" i="2"/>
  <c r="U469" i="2"/>
  <c r="U84" i="2"/>
  <c r="U454" i="2"/>
  <c r="U223" i="2"/>
  <c r="U326" i="2"/>
  <c r="U376" i="2"/>
  <c r="U128" i="2"/>
  <c r="U494" i="2"/>
  <c r="U169" i="2"/>
  <c r="U209" i="2"/>
  <c r="U414" i="2"/>
  <c r="U346" i="2"/>
  <c r="U236" i="2"/>
  <c r="U480" i="2"/>
  <c r="U260" i="2"/>
  <c r="U363" i="2"/>
  <c r="U184" i="2"/>
  <c r="U180" i="2"/>
  <c r="U252" i="2"/>
  <c r="U242" i="2"/>
  <c r="U37" i="2"/>
  <c r="U294" i="2"/>
  <c r="U134" i="2"/>
  <c r="U395" i="2"/>
  <c r="U183" i="2"/>
  <c r="U428" i="2"/>
  <c r="U99" i="2"/>
  <c r="U429" i="2"/>
  <c r="U213" i="2"/>
  <c r="U478" i="2"/>
  <c r="U463" i="2"/>
  <c r="U116" i="2"/>
  <c r="U448" i="2"/>
  <c r="U284" i="2"/>
  <c r="U369" i="2"/>
  <c r="U157" i="2"/>
  <c r="U418" i="2"/>
  <c r="U190" i="2"/>
  <c r="U435" i="2"/>
  <c r="U148" i="2"/>
  <c r="U452" i="2"/>
  <c r="U221" i="2"/>
  <c r="U485" i="2"/>
  <c r="U203" i="2"/>
  <c r="U470" i="2"/>
  <c r="U224" i="2"/>
  <c r="U456" i="2"/>
  <c r="U299" i="2"/>
  <c r="U80" i="2"/>
  <c r="U262" i="2"/>
  <c r="U287" i="2"/>
  <c r="U26" i="2"/>
  <c r="U490" i="2"/>
  <c r="U441" i="2"/>
  <c r="U399" i="2"/>
  <c r="U364" i="2"/>
  <c r="U319" i="2"/>
  <c r="U437" i="2"/>
  <c r="U208" i="2"/>
  <c r="U311" i="2"/>
  <c r="U411" i="2"/>
  <c r="U444" i="2"/>
  <c r="U164" i="2"/>
  <c r="U445" i="2"/>
  <c r="U230" i="2"/>
  <c r="U147" i="2"/>
  <c r="U479" i="2"/>
  <c r="U170" i="2"/>
  <c r="U464" i="2"/>
  <c r="U300" i="2"/>
  <c r="U385" i="2"/>
  <c r="U173" i="2"/>
  <c r="U434" i="2"/>
  <c r="U206" i="2"/>
  <c r="U467" i="2"/>
  <c r="U201" i="2"/>
  <c r="U468" i="2"/>
  <c r="U238" i="2"/>
  <c r="U33" i="2"/>
  <c r="U222" i="2"/>
  <c r="U486" i="2"/>
  <c r="U391" i="2"/>
  <c r="U342" i="2"/>
  <c r="U217" i="2"/>
  <c r="U465" i="2"/>
  <c r="U245" i="2"/>
  <c r="U92" i="2"/>
  <c r="U113" i="2"/>
  <c r="U244" i="2"/>
  <c r="U108" i="2"/>
  <c r="U114" i="2"/>
  <c r="U398" i="2"/>
  <c r="U329" i="2"/>
  <c r="U185" i="2"/>
  <c r="U226" i="2"/>
  <c r="U415" i="2"/>
  <c r="U142" i="2"/>
  <c r="U325" i="2"/>
  <c r="U259" i="2"/>
  <c r="U53" i="2"/>
  <c r="U150" i="2"/>
  <c r="U199" i="2"/>
  <c r="U276" i="2"/>
  <c r="U69" i="2"/>
  <c r="U328" i="2"/>
  <c r="U182" i="2"/>
  <c r="U427" i="2"/>
  <c r="U292" i="2"/>
  <c r="U460" i="2"/>
  <c r="U122" i="2"/>
  <c r="U461" i="2"/>
  <c r="U247" i="2"/>
  <c r="U154" i="2"/>
  <c r="U495" i="2"/>
  <c r="U215" i="2"/>
  <c r="U496" i="2"/>
  <c r="U316" i="2"/>
  <c r="U401" i="2"/>
  <c r="U189" i="2"/>
  <c r="U450" i="2"/>
  <c r="U198" i="2"/>
  <c r="U483" i="2"/>
  <c r="U219" i="2"/>
  <c r="U484" i="2"/>
  <c r="U255" i="2"/>
  <c r="U49" i="2"/>
  <c r="U239" i="2"/>
  <c r="U34" i="2"/>
  <c r="U240" i="2"/>
  <c r="U471" i="2"/>
  <c r="U344" i="2"/>
  <c r="U270" i="2"/>
  <c r="U39" i="2"/>
  <c r="U79" i="2"/>
  <c r="U136" i="2"/>
  <c r="U152" i="2"/>
  <c r="U430" i="2"/>
  <c r="U195" i="2"/>
  <c r="U345" i="2"/>
  <c r="U264" i="2"/>
  <c r="U332" i="2"/>
  <c r="U417" i="2"/>
  <c r="U163" i="2"/>
  <c r="U466" i="2"/>
  <c r="U218" i="2"/>
  <c r="U499" i="2"/>
  <c r="U237" i="2"/>
  <c r="U500" i="2"/>
  <c r="U272" i="2"/>
  <c r="U65" i="2"/>
  <c r="U256" i="2"/>
  <c r="U50" i="2"/>
  <c r="U392" i="2"/>
  <c r="U343" i="2"/>
  <c r="U102" i="2"/>
  <c r="U394" i="2"/>
  <c r="U133" i="2"/>
  <c r="U75" i="2"/>
  <c r="U257" i="2"/>
  <c r="U149" i="2"/>
  <c r="U72" i="2"/>
  <c r="U216" i="2"/>
  <c r="U96" i="2"/>
  <c r="U425" i="2"/>
  <c r="U103" i="2"/>
  <c r="U155" i="2"/>
  <c r="U347" i="2"/>
  <c r="U171" i="2"/>
  <c r="U457" i="2"/>
  <c r="U381" i="2"/>
  <c r="U187" i="2"/>
  <c r="U109" i="2"/>
  <c r="U404" i="2"/>
  <c r="U422" i="2"/>
  <c r="U293" i="2"/>
  <c r="U443" i="2"/>
  <c r="U476" i="2"/>
  <c r="U212" i="2"/>
  <c r="U214" i="2"/>
  <c r="U232" i="2"/>
  <c r="U310" i="2"/>
  <c r="U101" i="2"/>
  <c r="U362" i="2"/>
  <c r="U90" i="2"/>
  <c r="U459" i="2"/>
  <c r="U211" i="2"/>
  <c r="U492" i="2"/>
  <c r="U229" i="2"/>
  <c r="U493" i="2"/>
  <c r="U281" i="2"/>
  <c r="U248" i="2"/>
  <c r="U43" i="2"/>
  <c r="U249" i="2"/>
  <c r="U44" i="2"/>
  <c r="U348" i="2"/>
  <c r="U433" i="2"/>
  <c r="U132" i="2"/>
  <c r="U482" i="2"/>
  <c r="U235" i="2"/>
  <c r="U31" i="2"/>
  <c r="U254" i="2"/>
  <c r="U32" i="2"/>
  <c r="U289" i="2"/>
  <c r="U81" i="2"/>
  <c r="U273" i="2"/>
  <c r="U66" i="2"/>
  <c r="U241" i="2"/>
  <c r="U472" i="2"/>
  <c r="U166" i="2"/>
  <c r="U100" i="2"/>
  <c r="U85" i="2"/>
  <c r="U68" i="2"/>
  <c r="U106" i="2"/>
  <c r="U477" i="2"/>
  <c r="U27" i="2"/>
  <c r="U28" i="2"/>
  <c r="U327" i="2"/>
  <c r="U117" i="2"/>
  <c r="U378" i="2"/>
  <c r="U210" i="2"/>
  <c r="U475" i="2"/>
  <c r="U228" i="2"/>
  <c r="U40" i="2"/>
  <c r="U246" i="2"/>
  <c r="U41" i="2"/>
  <c r="U298" i="2"/>
  <c r="U265" i="2"/>
  <c r="U59" i="2"/>
  <c r="U266" i="2"/>
  <c r="U60" i="2"/>
  <c r="U115" i="2"/>
  <c r="U449" i="2"/>
  <c r="U194" i="2"/>
  <c r="U498" i="2"/>
  <c r="U253" i="2"/>
  <c r="U47" i="2"/>
  <c r="U271" i="2"/>
  <c r="U48" i="2"/>
  <c r="U306" i="2"/>
  <c r="U97" i="2"/>
  <c r="U290" i="2"/>
  <c r="U82" i="2"/>
  <c r="U407" i="2"/>
  <c r="U42" i="2"/>
  <c r="U153" i="2"/>
  <c r="U192" i="2"/>
  <c r="U76" i="2"/>
  <c r="Q24" i="2"/>
  <c r="U24" i="2" s="1" a="1"/>
  <c r="U24" i="2" l="1"/>
  <c r="Q25" i="2"/>
  <c r="U25" i="2" s="1" a="1"/>
  <c r="F10" i="1"/>
  <c r="F12" i="1"/>
  <c r="B30" i="1"/>
  <c r="F30" i="1"/>
  <c r="F28" i="1"/>
  <c r="F6" i="1"/>
  <c r="F4" i="1"/>
  <c r="F20" i="1"/>
  <c r="F18" i="1"/>
  <c r="F16" i="1"/>
  <c r="F14" i="1"/>
  <c r="F8" i="1"/>
  <c r="B4" i="1"/>
  <c r="B42" i="1"/>
  <c r="B40" i="1"/>
  <c r="B38" i="1"/>
  <c r="B36" i="1"/>
  <c r="B34" i="1"/>
  <c r="B32" i="1"/>
  <c r="B28" i="1"/>
  <c r="B26" i="1"/>
  <c r="B22" i="1"/>
  <c r="B16" i="1"/>
  <c r="B14" i="1"/>
  <c r="B6" i="1"/>
  <c r="I12" i="2" l="1"/>
  <c r="E12" i="2"/>
  <c r="I9" i="2"/>
  <c r="U25" i="2"/>
  <c r="E6" i="2" s="1"/>
  <c r="I8" i="2" l="1"/>
  <c r="I7" i="2"/>
  <c r="E8" i="2"/>
  <c r="E9" i="2"/>
  <c r="I11" i="2"/>
  <c r="I6" i="2"/>
  <c r="E11" i="2"/>
  <c r="E7" i="2"/>
  <c r="I10" i="2"/>
  <c r="E10" i="2"/>
  <c r="E13" i="2" l="1"/>
  <c r="E14" i="2" s="1" a="1"/>
  <c r="E14" i="2" s="1"/>
  <c r="I13" i="2"/>
  <c r="I14" i="2" s="1" a="1"/>
  <c r="I1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<sst xmlns="http://schemas.openxmlformats.org/spreadsheetml/2006/main" count="126" uniqueCount="91">
  <si>
    <t>Instructions: Complete all cells of the Rent and Occupanct Report as indicated by the definitions and instructions listed for each column and row. All nonself-populating cells must be filled with the appropriate response for the particular row and column. Please submit the completed report to Rachel Hightman at rachel.hightman2@rva.gov as an excel workbook.</t>
  </si>
  <si>
    <t>Column:</t>
  </si>
  <si>
    <t>"Unit #" - The unit number</t>
  </si>
  <si>
    <t>Row:</t>
  </si>
  <si>
    <t>"Date" - Date the report is submitted.</t>
  </si>
  <si>
    <t>"No. of Bedrooms" - List the number of bedrooms, please type '0' for efficiency/zero-bedroom units. (i.g. 0, 1, 2, 3, 4)</t>
  </si>
  <si>
    <t>"Reporting Period" - The period being reported on (05/16/2024 - 05/15/2025). This period reflect the limits set by Virginia Housing Limits as of April 1, 2024. 2024 limits were effective April 1, 2024 and must have been implemented by 5/16/2024. 2025 limits were effective April 1, 2025 and must have been implemented by 5/16/2025</t>
  </si>
  <si>
    <t>"% of AMI Unit Designation" - Please base this on the Affordable Housing Performance Grant Agreement per Exhibit A. Percents written should be written in increments of 10 (i.g. 20, 30, 40, 50, 60, 70, 80)</t>
  </si>
  <si>
    <t>"Property Owner" - The name of the owner or owner entity of the property.</t>
  </si>
  <si>
    <t>"Rent Amount" - The monthly rent amount per the lease agreement.</t>
  </si>
  <si>
    <t>"Property Contact (Phone)" - The phone number of the person completing the report.</t>
  </si>
  <si>
    <t>"Tenant(s) Name(s)" - All persons named on the lease agreement.</t>
  </si>
  <si>
    <t>"Property Contact (Email)" - The email of the person completing the report.</t>
  </si>
  <si>
    <t>"Household Size" - Number of persons residing in the home, including those under 18 years of age.</t>
  </si>
  <si>
    <t>"Property" - The name of the property.</t>
  </si>
  <si>
    <t>"Annual (Gross) Income" - Total gross income of all persons residing in the home at time of intial certification or recerification.</t>
  </si>
  <si>
    <t>"Recipient" - The Recipient of the Affordable Housing Performance Grant as written in the Affordable Housing Performance Grant agreement, its assign or successor as authorized by the agreement.</t>
  </si>
  <si>
    <t>"% of AMI" -  This column is self-populated, and calculates the % of Area Median Income based on the Annual Gross Income and household size.</t>
  </si>
  <si>
    <t>"Address" - The complete address of the property.</t>
  </si>
  <si>
    <t>"Unit Designation Equal Occupancy?" - This column is self populated and verifies that the resident income is in alignment with the AMI designation for the unit.</t>
  </si>
  <si>
    <t>"Total Units" - The total number of residential units in the property.</t>
  </si>
  <si>
    <t>"Date of Last Income Certification or Re-certification" - Income certifications and re-certifications should be updated annually by March 31 of the current year. Certifications for new move-ins must have been completed prior to the start of the inital lease period.</t>
  </si>
  <si>
    <t>"Total Certified Performance Units" - The total number of afforable units as written in the Affordable Housing Performance Grant agreement.</t>
  </si>
  <si>
    <t>"Income Certification Validation" - This column is self-populated, and validates that the income certification was updated according the the certification and re-certification calendar.</t>
  </si>
  <si>
    <t xml:space="preserve">"0-50% AMI Rental Units" - The number of units restricted to 0-50% AMI </t>
  </si>
  <si>
    <t>"Virginia Housing Published Rent"- The Virginia Housing Published Rent for the City of Richmond MSA as of April 1 of the reporting year. Project owners must implement the limits within 45 days from April 1. The new limits must be implemented and applied for all new move-ins and required annual recertifications by May 16 of the reporting year.</t>
  </si>
  <si>
    <t>"51-80% AMI Rental Units" - The number of units restricted to 51-80% AMI.</t>
  </si>
  <si>
    <t>"Utility Allowance"- If the tenant pays for their own utilities, the applicable Utility Allowance should be listed.  In the comments column, the source of the Utility Allowance should be listed with the first unit.</t>
  </si>
  <si>
    <t>"Name" - The name of the person completing the report.</t>
  </si>
  <si>
    <t>"Maximum Allowed Rent"- This column is self-populated, and equals the Virginia Housing published rent minus the applicable Utility Allowance.</t>
  </si>
  <si>
    <t>"Title"  - Title of the person completing the report.</t>
  </si>
  <si>
    <t>"Tenant Portion of Rent"- If the tenant has a voucher, list the tenant portion here.  If the tenant does not have a voucher, then please list the total rent.</t>
  </si>
  <si>
    <t>"Subsidy Amount"- If applicable, please list the subsidy amount.</t>
  </si>
  <si>
    <t>"Gross Rent"- This column is self-populated, and equals the tenant portion of rent plus the subsidy, if applicable.</t>
  </si>
  <si>
    <t>"Unit in Compliance? (Y or N)"- This column is self-populated, and validates if the unit is in compliance with applicable rent  and income limits.</t>
  </si>
  <si>
    <t>"Subsidy Type"-  The type of subsidy (e.g. project-based, individual housing choice voucher, etc.) should be listed in this column, if applicable.</t>
  </si>
  <si>
    <t>"Comments"- This column can be used for any necessary comments, such as the source of the Utility Allowance.</t>
  </si>
  <si>
    <t>City of Richmond Rental Compliance Rent and Occupancy Report</t>
  </si>
  <si>
    <t>Date</t>
  </si>
  <si>
    <t>Reporting Period</t>
  </si>
  <si>
    <t>5/16/2024-5/15/2025</t>
  </si>
  <si>
    <t>Performance Units in Compliance by AMI</t>
  </si>
  <si>
    <t>Performance Units Not in Compliance by AMI</t>
  </si>
  <si>
    <t>Property Owner</t>
  </si>
  <si>
    <t>Compliance Review</t>
  </si>
  <si>
    <t>Property Contact (Phone)</t>
  </si>
  <si>
    <t>Date HCD received from Developer:</t>
  </si>
  <si>
    <t>Property Contact (Email)</t>
  </si>
  <si>
    <t>Date of Completed Review:</t>
  </si>
  <si>
    <t>Property</t>
  </si>
  <si>
    <t>Reviewed By:</t>
  </si>
  <si>
    <t>Recipient</t>
  </si>
  <si>
    <t>Recommendation:</t>
  </si>
  <si>
    <t>Address</t>
  </si>
  <si>
    <t>Total Units</t>
  </si>
  <si>
    <t xml:space="preserve">Total </t>
  </si>
  <si>
    <t>Total Performance Units</t>
  </si>
  <si>
    <t>Average AMI</t>
  </si>
  <si>
    <t>Total Certified Performance Units</t>
  </si>
  <si>
    <t>0-50% AMI Rental Units</t>
  </si>
  <si>
    <t>51-80% AMI Rental Units</t>
  </si>
  <si>
    <t>Name</t>
  </si>
  <si>
    <t>Title</t>
  </si>
  <si>
    <t>Unit #</t>
  </si>
  <si>
    <t>No. of Bedrooms</t>
  </si>
  <si>
    <t>% of AMI Unit Designation</t>
  </si>
  <si>
    <t>Rent Amount</t>
  </si>
  <si>
    <t>Tenant(s) Name(s)</t>
  </si>
  <si>
    <t>Household Size</t>
  </si>
  <si>
    <t>Annual (Gross) Income</t>
  </si>
  <si>
    <t>% of AMI</t>
  </si>
  <si>
    <t>Unit Designation Equal Occupancy?</t>
  </si>
  <si>
    <t>Lease Period Start</t>
  </si>
  <si>
    <t>Lease Period End</t>
  </si>
  <si>
    <t>New move-in? (Y or N)</t>
  </si>
  <si>
    <t>Date of Last Income Certification or Re-certification</t>
  </si>
  <si>
    <t>Income Certification Validation</t>
  </si>
  <si>
    <t>Virginia Housing Published Rent</t>
  </si>
  <si>
    <t>Utility Allowance</t>
  </si>
  <si>
    <t>Maximum Allowed Rent</t>
  </si>
  <si>
    <t>Tenant Portion of Rent</t>
  </si>
  <si>
    <t>Subsidy Amount</t>
  </si>
  <si>
    <t>Gross Rent</t>
  </si>
  <si>
    <t>Unit in Compliance? (Y or N)</t>
  </si>
  <si>
    <t>Subsidy Type</t>
  </si>
  <si>
    <t>Comments</t>
  </si>
  <si>
    <t>MSA: Richmond, VA HUD MSA</t>
  </si>
  <si>
    <t>2024 Median Income Limit: $110,300</t>
  </si>
  <si>
    <t>Income Limits</t>
  </si>
  <si>
    <t>Monthly Rent Limits</t>
  </si>
  <si>
    <t>Bedroom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</si>
</sst>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x14ac:knownFonts="1">
    <font>
      <sz val="11"/>
      <color theme="1"/>
      <name val="Calibri"/>
      <family val="2"/>
      <scheme val="minor"/>
    </font>
    <font>
      <b/>
      <sz val="11"/>
      <color theme="1"/>
      <name val="Calibri"/>
      <family val="2"/>
      <scheme val="minor"/>
    </font>
    <font>
      <b/>
      <sz val="10"/>
      <name val="Arial"/>
      <family val="2"/>
    </font>
    <font>
      <b/>
      <u/>
      <sz val="11"/>
      <color theme="1"/>
      <name val="Calibri"/>
      <family val="2"/>
      <scheme val="minor"/>
    </font>
    <font>
      <sz val="11"/>
      <name val="Calibri"/>
      <family val="2"/>
      <scheme val="minor"/>
    </font>
    <font>
      <sz val="10"/>
      <color rgb="FF000000"/>
      <name val="Arial"/>
      <family val="2"/>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s>
  <cellStyleXfs count="3">
    <xf numFmtId="0" fontId="0" fillId="0" borderId="0"/>
    <xf numFmtId="0" fontId="5" fillId="0" borderId="0"/>
    <xf numFmtId="0" fontId="7" fillId="0" borderId="0" applyNumberFormat="0" applyFill="0" applyBorder="0" applyAlignment="0" applyProtection="0"/>
  </cellStyleXfs>
  <cellXfs count="131">
    <xf numFmtId="0" fontId="0" fillId="0" borderId="0" xfId="0"/>
    <xf numFmtId="0" fontId="0" fillId="0" borderId="0" xfId="0" applyProtection="1">
      <protection locked="0"/>
    </xf>
    <xf numFmtId="0" fontId="4" fillId="0" borderId="0" xfId="0" applyFont="1" applyProtection="1">
      <protection locked="0"/>
    </xf>
    <xf numFmtId="0" fontId="0" fillId="0" borderId="0" xfId="0" applyAlignment="1" applyProtection="1">
      <alignment wrapText="1"/>
      <protection locked="0"/>
    </xf>
    <xf numFmtId="0" fontId="0" fillId="0" borderId="0" xfId="0" quotePrefix="1" applyAlignment="1" applyProtection="1">
      <alignment wrapText="1"/>
      <protection locked="0"/>
    </xf>
    <xf numFmtId="0" fontId="0" fillId="0" borderId="0" xfId="0" applyAlignment="1">
      <alignment wrapText="1"/>
    </xf>
    <xf numFmtId="0" fontId="4" fillId="0" borderId="0" xfId="0" quotePrefix="1" applyFont="1" applyAlignment="1" applyProtection="1">
      <alignment wrapText="1"/>
      <protection locked="0"/>
    </xf>
    <xf numFmtId="0" fontId="2" fillId="0" borderId="0" xfId="0" applyFont="1" applyProtection="1">
      <protection locked="0"/>
    </xf>
    <xf numFmtId="0" fontId="0" fillId="0" borderId="7" xfId="0" applyBorder="1" applyProtection="1">
      <protection locked="0"/>
    </xf>
    <xf numFmtId="9" fontId="0" fillId="0" borderId="28" xfId="0" applyNumberFormat="1" applyBorder="1"/>
    <xf numFmtId="9" fontId="0" fillId="0" borderId="27" xfId="0" applyNumberFormat="1" applyBorder="1"/>
    <xf numFmtId="9" fontId="0" fillId="0" borderId="26" xfId="0" applyNumberFormat="1" applyBorder="1"/>
    <xf numFmtId="0" fontId="0" fillId="0" borderId="29" xfId="0"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 xfId="0" applyNumberFormat="1" applyBorder="1"/>
    <xf numFmtId="164" fontId="0" fillId="0" borderId="12" xfId="0" applyNumberFormat="1" applyBorder="1"/>
    <xf numFmtId="164" fontId="0" fillId="0" borderId="13" xfId="0" applyNumberFormat="1" applyBorder="1"/>
    <xf numFmtId="164" fontId="0" fillId="0" borderId="14" xfId="0" applyNumberFormat="1" applyBorder="1"/>
    <xf numFmtId="164" fontId="0" fillId="0" borderId="15" xfId="0" applyNumberFormat="1" applyBorder="1"/>
    <xf numFmtId="9" fontId="0" fillId="0" borderId="16" xfId="0" applyNumberFormat="1" applyBorder="1"/>
    <xf numFmtId="9" fontId="0" fillId="0" borderId="17" xfId="0" applyNumberFormat="1" applyBorder="1"/>
    <xf numFmtId="9" fontId="0" fillId="0" borderId="18" xfId="0" applyNumberFormat="1" applyBorder="1"/>
    <xf numFmtId="0" fontId="0" fillId="0" borderId="30" xfId="0" applyBorder="1"/>
    <xf numFmtId="164" fontId="0" fillId="0" borderId="31" xfId="0" applyNumberFormat="1" applyBorder="1"/>
    <xf numFmtId="164" fontId="0" fillId="0" borderId="32" xfId="0" applyNumberFormat="1" applyBorder="1"/>
    <xf numFmtId="164" fontId="0" fillId="0" borderId="33" xfId="0" applyNumberFormat="1" applyBorder="1"/>
    <xf numFmtId="0" fontId="0" fillId="0" borderId="22" xfId="0" applyBorder="1"/>
    <xf numFmtId="0" fontId="0" fillId="0" borderId="3" xfId="0" applyBorder="1"/>
    <xf numFmtId="0" fontId="0" fillId="0" borderId="4" xfId="0" applyBorder="1"/>
    <xf numFmtId="0" fontId="2" fillId="3" borderId="2" xfId="0" applyFont="1" applyFill="1" applyBorder="1"/>
    <xf numFmtId="0" fontId="2" fillId="3" borderId="4" xfId="0" applyFont="1" applyFill="1" applyBorder="1"/>
    <xf numFmtId="0" fontId="2" fillId="3" borderId="3" xfId="0" applyFont="1" applyFill="1" applyBorder="1"/>
    <xf numFmtId="0" fontId="1" fillId="3" borderId="3" xfId="0" applyFont="1" applyFill="1" applyBorder="1"/>
    <xf numFmtId="0" fontId="1" fillId="3" borderId="2" xfId="0" applyFont="1" applyFill="1" applyBorder="1"/>
    <xf numFmtId="0" fontId="1" fillId="3" borderId="4" xfId="0" applyFont="1" applyFill="1" applyBorder="1"/>
    <xf numFmtId="0" fontId="0" fillId="0" borderId="6" xfId="0" applyBorder="1" applyProtection="1">
      <protection hidden="1"/>
    </xf>
    <xf numFmtId="0" fontId="0" fillId="0" borderId="7" xfId="0" applyBorder="1" applyProtection="1">
      <protection hidden="1"/>
    </xf>
    <xf numFmtId="0" fontId="0" fillId="0" borderId="25" xfId="0" applyBorder="1" applyProtection="1">
      <protection hidden="1"/>
    </xf>
    <xf numFmtId="0" fontId="0" fillId="0" borderId="23" xfId="0" applyBorder="1" applyProtection="1">
      <protection hidden="1"/>
    </xf>
    <xf numFmtId="0" fontId="0" fillId="3" borderId="32" xfId="0" applyFill="1" applyBorder="1" applyProtection="1">
      <protection hidden="1"/>
    </xf>
    <xf numFmtId="0" fontId="0" fillId="3" borderId="1" xfId="0" applyFill="1" applyBorder="1" applyProtection="1">
      <protection hidden="1"/>
    </xf>
    <xf numFmtId="0" fontId="0" fillId="3" borderId="14" xfId="0" applyFill="1" applyBorder="1" applyProtection="1">
      <protection hidden="1"/>
    </xf>
    <xf numFmtId="0" fontId="0" fillId="3" borderId="36" xfId="0" applyFill="1" applyBorder="1" applyProtection="1">
      <protection hidden="1"/>
    </xf>
    <xf numFmtId="164" fontId="0" fillId="3" borderId="34" xfId="0" applyNumberFormat="1" applyFill="1" applyBorder="1" applyProtection="1">
      <protection hidden="1"/>
    </xf>
    <xf numFmtId="14" fontId="0" fillId="3" borderId="1" xfId="0" applyNumberFormat="1" applyFill="1" applyBorder="1" applyProtection="1">
      <protection hidden="1"/>
    </xf>
    <xf numFmtId="164" fontId="0" fillId="3" borderId="1" xfId="0" applyNumberFormat="1" applyFill="1" applyBorder="1" applyProtection="1">
      <protection hidden="1"/>
    </xf>
    <xf numFmtId="14" fontId="0" fillId="3" borderId="14" xfId="0" applyNumberFormat="1" applyFill="1" applyBorder="1" applyProtection="1">
      <protection hidden="1"/>
    </xf>
    <xf numFmtId="164" fontId="0" fillId="3" borderId="14" xfId="0" applyNumberFormat="1" applyFill="1" applyBorder="1" applyProtection="1">
      <protection hidden="1"/>
    </xf>
    <xf numFmtId="0" fontId="0" fillId="0" borderId="5" xfId="0" applyBorder="1" applyProtection="1">
      <protection locked="0"/>
    </xf>
    <xf numFmtId="0" fontId="0" fillId="0" borderId="6" xfId="0" applyBorder="1" applyProtection="1">
      <protection locked="0"/>
    </xf>
    <xf numFmtId="0" fontId="3" fillId="0" borderId="0" xfId="0" applyFont="1" applyProtection="1">
      <protection locked="0"/>
    </xf>
    <xf numFmtId="14" fontId="0" fillId="0" borderId="34" xfId="0" applyNumberFormat="1" applyBorder="1" applyProtection="1">
      <protection locked="0"/>
    </xf>
    <xf numFmtId="164" fontId="0" fillId="0" borderId="9" xfId="0" applyNumberFormat="1" applyBorder="1" applyProtection="1">
      <protection locked="0"/>
    </xf>
    <xf numFmtId="0" fontId="0" fillId="0" borderId="21"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 xfId="0" applyBorder="1" applyProtection="1">
      <protection locked="0"/>
    </xf>
    <xf numFmtId="164" fontId="0" fillId="0" borderId="1" xfId="0" applyNumberFormat="1" applyBorder="1" applyProtection="1">
      <protection locked="0"/>
    </xf>
    <xf numFmtId="14" fontId="0" fillId="0" borderId="1" xfId="0" applyNumberFormat="1" applyBorder="1" applyProtection="1">
      <protection locked="0"/>
    </xf>
    <xf numFmtId="0" fontId="0" fillId="0" borderId="19" xfId="0" applyBorder="1" applyProtection="1">
      <protection locked="0"/>
    </xf>
    <xf numFmtId="0" fontId="0" fillId="0" borderId="12" xfId="0" applyBorder="1" applyProtection="1">
      <protection locked="0"/>
    </xf>
    <xf numFmtId="14" fontId="0" fillId="0" borderId="35" xfId="0" applyNumberFormat="1" applyBorder="1" applyProtection="1">
      <protection locked="0"/>
    </xf>
    <xf numFmtId="0" fontId="0" fillId="0" borderId="13" xfId="0" applyBorder="1" applyProtection="1">
      <protection locked="0"/>
    </xf>
    <xf numFmtId="0" fontId="0" fillId="0" borderId="14" xfId="0" applyBorder="1" applyProtection="1">
      <protection locked="0"/>
    </xf>
    <xf numFmtId="164" fontId="0" fillId="0" borderId="14" xfId="0" applyNumberFormat="1" applyBorder="1" applyProtection="1">
      <protection locked="0"/>
    </xf>
    <xf numFmtId="14" fontId="0" fillId="0" borderId="14" xfId="0" applyNumberFormat="1" applyBorder="1" applyProtection="1">
      <protection locked="0"/>
    </xf>
    <xf numFmtId="0" fontId="0" fillId="0" borderId="20" xfId="0" applyBorder="1" applyProtection="1">
      <protection locked="0"/>
    </xf>
    <xf numFmtId="0" fontId="0" fillId="0" borderId="15" xfId="0" applyBorder="1" applyProtection="1">
      <protection locked="0"/>
    </xf>
    <xf numFmtId="0" fontId="4" fillId="0" borderId="19" xfId="0" applyFont="1" applyBorder="1" applyProtection="1">
      <protection locked="0"/>
    </xf>
    <xf numFmtId="0" fontId="0" fillId="0" borderId="37" xfId="0" applyBorder="1" applyProtection="1">
      <protection locked="0"/>
    </xf>
    <xf numFmtId="0" fontId="0" fillId="0" borderId="38" xfId="0" applyBorder="1" applyAlignment="1" applyProtection="1">
      <alignment wrapText="1"/>
      <protection locked="0"/>
    </xf>
    <xf numFmtId="0" fontId="0" fillId="0" borderId="38" xfId="0" quotePrefix="1" applyBorder="1" applyAlignment="1" applyProtection="1">
      <alignment wrapText="1"/>
      <protection locked="0"/>
    </xf>
    <xf numFmtId="0" fontId="4" fillId="0" borderId="38" xfId="0" quotePrefix="1" applyFont="1" applyBorder="1" applyAlignment="1" applyProtection="1">
      <alignment wrapText="1"/>
      <protection locked="0"/>
    </xf>
    <xf numFmtId="0" fontId="0" fillId="0" borderId="1" xfId="0" quotePrefix="1" applyBorder="1" applyProtection="1">
      <protection locked="0"/>
    </xf>
    <xf numFmtId="0" fontId="0" fillId="0" borderId="38" xfId="0" quotePrefix="1" applyBorder="1" applyAlignment="1">
      <alignment wrapText="1"/>
    </xf>
    <xf numFmtId="14" fontId="0" fillId="0" borderId="5" xfId="0" applyNumberFormat="1" applyBorder="1" applyProtection="1">
      <protection locked="0"/>
    </xf>
    <xf numFmtId="0" fontId="0" fillId="3" borderId="9" xfId="0" applyFill="1" applyBorder="1" applyProtection="1">
      <protection hidden="1"/>
    </xf>
    <xf numFmtId="0" fontId="1" fillId="3" borderId="16" xfId="0" applyFont="1" applyFill="1" applyBorder="1" applyProtection="1">
      <protection hidden="1"/>
    </xf>
    <xf numFmtId="0" fontId="0" fillId="0" borderId="0" xfId="0" applyProtection="1">
      <protection hidden="1"/>
    </xf>
    <xf numFmtId="0" fontId="0" fillId="3" borderId="34" xfId="0" applyFill="1" applyBorder="1" applyProtection="1">
      <protection hidden="1"/>
    </xf>
    <xf numFmtId="9" fontId="0" fillId="0" borderId="29" xfId="0" applyNumberFormat="1" applyBorder="1" applyProtection="1">
      <protection hidden="1"/>
    </xf>
    <xf numFmtId="0" fontId="0" fillId="0" borderId="40" xfId="0" applyBorder="1" applyProtection="1">
      <protection hidden="1"/>
    </xf>
    <xf numFmtId="9" fontId="0" fillId="0" borderId="30" xfId="0" applyNumberFormat="1" applyBorder="1" applyProtection="1">
      <protection hidden="1"/>
    </xf>
    <xf numFmtId="9" fontId="0" fillId="0" borderId="22" xfId="0" applyNumberFormat="1" applyBorder="1" applyProtection="1">
      <protection hidden="1"/>
    </xf>
    <xf numFmtId="0" fontId="1" fillId="3" borderId="39" xfId="0" applyFont="1" applyFill="1" applyBorder="1" applyProtection="1">
      <protection hidden="1"/>
    </xf>
    <xf numFmtId="0" fontId="2" fillId="3" borderId="3" xfId="0" applyFont="1" applyFill="1" applyBorder="1" applyProtection="1">
      <protection hidden="1"/>
    </xf>
    <xf numFmtId="0" fontId="2" fillId="3" borderId="4" xfId="0" applyFont="1" applyFill="1" applyBorder="1" applyProtection="1">
      <protection hidden="1"/>
    </xf>
    <xf numFmtId="164" fontId="0" fillId="0" borderId="32" xfId="0" applyNumberFormat="1" applyBorder="1" applyProtection="1">
      <protection locked="0"/>
    </xf>
    <xf numFmtId="14" fontId="0" fillId="3" borderId="34" xfId="0" applyNumberFormat="1" applyFill="1" applyBorder="1" applyProtection="1">
      <protection hidden="1"/>
    </xf>
    <xf numFmtId="0" fontId="0" fillId="0" borderId="30" xfId="0" applyBorder="1" applyProtection="1">
      <protection locked="0"/>
    </xf>
    <xf numFmtId="0" fontId="2" fillId="2" borderId="16" xfId="0" applyFont="1" applyFill="1" applyBorder="1" applyAlignment="1">
      <alignment wrapText="1"/>
    </xf>
    <xf numFmtId="0" fontId="2" fillId="2" borderId="17" xfId="0" applyFont="1" applyFill="1" applyBorder="1" applyAlignment="1">
      <alignment wrapText="1"/>
    </xf>
    <xf numFmtId="0" fontId="2" fillId="3" borderId="17" xfId="0" applyFont="1" applyFill="1" applyBorder="1" applyAlignment="1">
      <alignment wrapText="1"/>
    </xf>
    <xf numFmtId="0" fontId="2" fillId="2" borderId="18" xfId="0" applyFont="1" applyFill="1" applyBorder="1" applyAlignment="1">
      <alignment wrapText="1"/>
    </xf>
    <xf numFmtId="0" fontId="7" fillId="0" borderId="6" xfId="2" applyBorder="1" applyProtection="1">
      <protection locked="0"/>
    </xf>
    <xf numFmtId="0" fontId="0" fillId="0" borderId="12" xfId="0" applyBorder="1" applyAlignment="1" applyProtection="1">
      <alignment wrapText="1"/>
      <protection locked="0"/>
    </xf>
    <xf numFmtId="14" fontId="0" fillId="0" borderId="40" xfId="0" applyNumberFormat="1" applyBorder="1"/>
    <xf numFmtId="0" fontId="0" fillId="0" borderId="41" xfId="0" applyBorder="1"/>
    <xf numFmtId="0" fontId="1" fillId="0" borderId="3" xfId="0" applyFont="1" applyBorder="1"/>
    <xf numFmtId="0" fontId="0" fillId="3" borderId="38" xfId="0" applyFill="1" applyBorder="1" applyProtection="1">
      <protection hidden="1"/>
    </xf>
    <xf numFmtId="0" fontId="0" fillId="0" borderId="43" xfId="0" applyBorder="1" applyProtection="1">
      <protection locked="0"/>
    </xf>
    <xf numFmtId="0" fontId="0" fillId="0" borderId="34" xfId="0" applyBorder="1" applyProtection="1">
      <protection locked="0"/>
    </xf>
    <xf numFmtId="164" fontId="0" fillId="0" borderId="35" xfId="0" applyNumberFormat="1" applyBorder="1" applyProtection="1">
      <protection locked="0"/>
    </xf>
    <xf numFmtId="164" fontId="0" fillId="0" borderId="34" xfId="0" applyNumberFormat="1" applyBorder="1" applyProtection="1">
      <protection locked="0"/>
    </xf>
    <xf numFmtId="0" fontId="0" fillId="0" borderId="31" xfId="0" applyBorder="1" applyProtection="1">
      <protection locked="0"/>
    </xf>
    <xf numFmtId="0" fontId="0" fillId="0" borderId="32" xfId="0" applyBorder="1" applyProtection="1">
      <protection locked="0"/>
    </xf>
    <xf numFmtId="0" fontId="2" fillId="2" borderId="25" xfId="0" applyFont="1" applyFill="1" applyBorder="1" applyAlignment="1">
      <alignment horizontal="center"/>
    </xf>
    <xf numFmtId="0" fontId="2" fillId="2" borderId="24" xfId="0" applyFont="1" applyFill="1" applyBorder="1" applyAlignment="1">
      <alignment horizontal="center"/>
    </xf>
    <xf numFmtId="0" fontId="2" fillId="2" borderId="23" xfId="0" applyFont="1" applyFill="1" applyBorder="1" applyAlignment="1">
      <alignment horizontal="center"/>
    </xf>
    <xf numFmtId="0" fontId="1" fillId="3" borderId="25" xfId="0" applyFont="1" applyFill="1" applyBorder="1" applyAlignment="1" applyProtection="1">
      <alignment horizontal="center"/>
      <protection hidden="1"/>
    </xf>
    <xf numFmtId="0" fontId="1" fillId="3" borderId="24" xfId="0" applyFont="1" applyFill="1" applyBorder="1" applyAlignment="1" applyProtection="1">
      <alignment horizontal="center"/>
      <protection hidden="1"/>
    </xf>
    <xf numFmtId="0" fontId="1" fillId="3" borderId="23" xfId="0" applyFont="1" applyFill="1" applyBorder="1" applyAlignment="1" applyProtection="1">
      <alignment horizontal="center"/>
      <protection hidden="1"/>
    </xf>
    <xf numFmtId="10" fontId="0" fillId="0" borderId="25" xfId="0" applyNumberFormat="1" applyBorder="1" applyAlignment="1" applyProtection="1">
      <alignment horizontal="center"/>
      <protection hidden="1"/>
    </xf>
    <xf numFmtId="10" fontId="0" fillId="0" borderId="23" xfId="0" applyNumberFormat="1" applyBorder="1" applyAlignment="1" applyProtection="1">
      <alignment horizontal="center"/>
      <protection hidden="1"/>
    </xf>
    <xf numFmtId="0" fontId="0" fillId="0" borderId="25" xfId="0" applyBorder="1" applyAlignment="1" applyProtection="1">
      <alignment horizontal="center"/>
      <protection hidden="1"/>
    </xf>
    <xf numFmtId="0" fontId="0" fillId="0" borderId="23" xfId="0" applyBorder="1" applyAlignment="1" applyProtection="1">
      <alignment horizontal="center"/>
      <protection hidden="1"/>
    </xf>
    <xf numFmtId="0" fontId="1" fillId="0" borderId="3" xfId="0" applyFont="1" applyBorder="1" applyAlignment="1">
      <alignment horizontal="left"/>
    </xf>
    <xf numFmtId="0" fontId="1" fillId="0" borderId="0" xfId="0" applyFont="1" applyAlignment="1">
      <alignment horizontal="left"/>
    </xf>
    <xf numFmtId="0" fontId="0" fillId="0" borderId="0" xfId="0" applyAlignment="1">
      <alignment horizontal="center"/>
    </xf>
    <xf numFmtId="0" fontId="0" fillId="0" borderId="40" xfId="0" applyBorder="1" applyAlignment="1">
      <alignment horizontal="center"/>
    </xf>
    <xf numFmtId="0" fontId="1" fillId="0" borderId="4" xfId="0" applyFont="1" applyBorder="1" applyAlignment="1">
      <alignment horizontal="left"/>
    </xf>
    <xf numFmtId="0" fontId="1" fillId="0" borderId="42" xfId="0" applyFont="1" applyBorder="1" applyAlignment="1">
      <alignment horizontal="left"/>
    </xf>
    <xf numFmtId="0" fontId="1" fillId="0" borderId="25" xfId="0" applyFont="1" applyBorder="1" applyAlignment="1" applyProtection="1">
      <alignment horizontal="left" wrapText="1"/>
      <protection locked="0"/>
    </xf>
    <xf numFmtId="0" fontId="1" fillId="0" borderId="24" xfId="0" applyFont="1" applyBorder="1" applyAlignment="1" applyProtection="1">
      <alignment horizontal="left" wrapText="1"/>
      <protection locked="0"/>
    </xf>
    <xf numFmtId="0" fontId="1" fillId="0" borderId="23" xfId="0" applyFont="1" applyBorder="1" applyAlignment="1" applyProtection="1">
      <alignment horizontal="left" wrapText="1"/>
      <protection locked="0"/>
    </xf>
    <xf numFmtId="0" fontId="0" fillId="0" borderId="25" xfId="0" applyBorder="1" applyAlignment="1">
      <alignment horizontal="center"/>
    </xf>
    <xf numFmtId="0" fontId="0" fillId="0" borderId="24" xfId="0" applyBorder="1" applyAlignment="1">
      <alignment horizontal="center"/>
    </xf>
    <xf numFmtId="0" fontId="0" fillId="0" borderId="23" xfId="0" applyBorder="1" applyAlignment="1">
      <alignment horizontal="center"/>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HPG%20Reporting%20Documentation/VAhousing%202025%20limi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etterled/Desktop/Saved%20Documents/2018-9%25_The%20Arden%20-%20Building%20A%20Reservation%20Application.xlsx" TargetMode="External"/><Relationship Id="rId1" Type="http://schemas.openxmlformats.org/officeDocument/2006/relationships/externalLinkPath" Target="/Users/etterled/Desktop/Saved%20Documents/2018-9%25_The%20Arden%20-%20Building%20A%20Reservation%20Applic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HPG%20Reporting%20Documentation/Program%20Income%20and%20Rent%20Limits_April%20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 Program Limits"/>
      <sheetName val="Form Instruction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
      <sheetName val="Cover"/>
      <sheetName val="Instructions"/>
      <sheetName val="TOC"/>
      <sheetName val="Submission Checklist"/>
      <sheetName val="DEV INFO"/>
      <sheetName val="Request Info"/>
      <sheetName val="Owner Info"/>
      <sheetName val="Site &amp; Seller"/>
      <sheetName val="Team Info"/>
      <sheetName val="Rehab Info"/>
      <sheetName val="Non Profit"/>
      <sheetName val="Structure"/>
      <sheetName val="Utilities"/>
      <sheetName val="Enhancements"/>
      <sheetName val="Sp. Hsg Needs"/>
      <sheetName val="Unit Details"/>
      <sheetName val="Budget"/>
      <sheetName val="SD_Dropdowns"/>
      <sheetName val="Project Schedule "/>
      <sheetName val="Hard Costs "/>
      <sheetName val="Owners Costs"/>
      <sheetName val="Elig Basis"/>
      <sheetName val="Sources"/>
      <sheetName val="Equity "/>
      <sheetName val="Gap Calculation"/>
      <sheetName val="Cash Flow"/>
      <sheetName val="BINS "/>
      <sheetName val="Owner Stmt"/>
      <sheetName val="Scoresheet"/>
      <sheetName val="Dev Summary"/>
      <sheetName val="E-U-R"/>
      <sheetName val="E-U-R TE Bond"/>
      <sheetName val="Cost-Unit"/>
      <sheetName val="Credit-Unit"/>
      <sheetName val="Jurisdictions"/>
      <sheetName val="Cost-Unit TE Bond"/>
      <sheetName val="Credit-Unit TE Bond"/>
      <sheetName val="Area Median Income"/>
      <sheetName val="JurisGrow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Programs Not-AFS"/>
      <sheetName val="MTSP-HERA Rent All Areas"/>
      <sheetName val="Nat.Non-Metro Limits"/>
      <sheetName val="Parkstone Rent Letter (HIDE)"/>
      <sheetName val="MTSP-HERA Limits-HIDE"/>
      <sheetName val="Average Income Limits-HIDE"/>
      <sheetName val="National Non-MetroLimits-HIDE"/>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tabSelected="1" zoomScaleNormal="100" workbookViewId="0">
      <selection activeCell="G31" sqref="G31"/>
    </sheetView>
  </sheetViews>
  <sheetFormatPr defaultColWidth="9.140625" defaultRowHeight="15" x14ac:dyDescent="0.25"/>
  <cols>
    <col min="2" max="2" width="5.5703125" bestFit="1" customWidth="1"/>
    <col min="3" max="3" width="141.28515625" style="5" bestFit="1" customWidth="1"/>
    <col min="5" max="5" width="4.85546875" bestFit="1" customWidth="1"/>
    <col min="6" max="6" width="5.5703125" bestFit="1" customWidth="1"/>
    <col min="7" max="7" width="96.140625" style="5" customWidth="1"/>
  </cols>
  <sheetData>
    <row r="1" spans="1:15" ht="15.75" thickBot="1" x14ac:dyDescent="0.3"/>
    <row r="2" spans="1:15" s="1" customFormat="1" ht="30.75" customHeight="1" thickBot="1" x14ac:dyDescent="0.3">
      <c r="A2" s="125" t="s">
        <v>0</v>
      </c>
      <c r="B2" s="126"/>
      <c r="C2" s="126"/>
      <c r="D2" s="126"/>
      <c r="E2" s="126"/>
      <c r="F2" s="126"/>
      <c r="G2" s="127"/>
      <c r="K2"/>
      <c r="O2"/>
    </row>
    <row r="3" spans="1:15" s="1" customFormat="1" x14ac:dyDescent="0.25">
      <c r="C3" s="3"/>
      <c r="K3"/>
      <c r="O3"/>
    </row>
    <row r="4" spans="1:15" s="1" customFormat="1" x14ac:dyDescent="0.25">
      <c r="A4" s="71" t="s">
        <v>1</v>
      </c>
      <c r="B4" s="72" t="str">
        <f>SUBSTITUTE(ADDRESS(1, MATCH("Unit #", 'Rent and Occupancy Report'!22:22, 0), 4), "1", "")</f>
        <v>A</v>
      </c>
      <c r="C4" s="74" t="s">
        <v>2</v>
      </c>
      <c r="E4" s="62" t="s">
        <v>3</v>
      </c>
      <c r="F4" s="72">
        <f>MATCH("Date", 'Rent and Occupancy Report'!A:A, 0)</f>
        <v>3</v>
      </c>
      <c r="G4" s="74" t="s">
        <v>4</v>
      </c>
      <c r="H4" s="3"/>
      <c r="K4"/>
      <c r="O4"/>
    </row>
    <row r="5" spans="1:15" s="1" customFormat="1" x14ac:dyDescent="0.25">
      <c r="A5" s="2"/>
      <c r="C5" s="3"/>
      <c r="G5" s="3"/>
      <c r="H5" s="3"/>
      <c r="K5"/>
      <c r="O5"/>
    </row>
    <row r="6" spans="1:15" s="1" customFormat="1" ht="60" x14ac:dyDescent="0.25">
      <c r="A6" s="71" t="s">
        <v>1</v>
      </c>
      <c r="B6" s="72" t="str">
        <f>SUBSTITUTE(ADDRESS(1, MATCH("No. of Bedrooms", 'Rent and Occupancy Report'!22:22, 0), 4), "1", "")</f>
        <v>B</v>
      </c>
      <c r="C6" s="73" t="s">
        <v>5</v>
      </c>
      <c r="E6" s="62" t="s">
        <v>3</v>
      </c>
      <c r="F6" s="72">
        <f>MATCH("Reporting Period", 'Rent and Occupancy Report'!A:A, 0)</f>
        <v>4</v>
      </c>
      <c r="G6" s="74" t="s">
        <v>6</v>
      </c>
      <c r="H6" s="3"/>
      <c r="K6"/>
      <c r="O6"/>
    </row>
    <row r="7" spans="1:15" s="1" customFormat="1" x14ac:dyDescent="0.25">
      <c r="A7" s="2"/>
      <c r="C7" s="3"/>
      <c r="G7" s="3"/>
      <c r="H7" s="3"/>
      <c r="K7"/>
      <c r="O7"/>
    </row>
    <row r="8" spans="1:15" s="1" customFormat="1" ht="30" x14ac:dyDescent="0.25">
      <c r="A8" s="71" t="s">
        <v>1</v>
      </c>
      <c r="B8" s="72" t="str">
        <f>SUBSTITUTE(ADDRESS(1, MATCH("% of AMI Unit Designation", 'Rent and Occupancy Report'!22:22, 0), 4), "1", "")</f>
        <v>C</v>
      </c>
      <c r="C8" s="74" t="s">
        <v>7</v>
      </c>
      <c r="E8" s="62" t="s">
        <v>3</v>
      </c>
      <c r="F8" s="72">
        <f>MATCH("Property Owner", 'Rent and Occupancy Report'!A:A, 0)</f>
        <v>6</v>
      </c>
      <c r="G8" s="75" t="s">
        <v>8</v>
      </c>
      <c r="H8" s="3"/>
      <c r="K8"/>
      <c r="O8"/>
    </row>
    <row r="9" spans="1:15" s="1" customFormat="1" x14ac:dyDescent="0.25">
      <c r="A9" s="2"/>
      <c r="C9" s="4"/>
      <c r="G9" s="6"/>
      <c r="H9" s="3"/>
      <c r="K9"/>
      <c r="O9"/>
    </row>
    <row r="10" spans="1:15" s="1" customFormat="1" x14ac:dyDescent="0.25">
      <c r="A10" s="71" t="s">
        <v>1</v>
      </c>
      <c r="B10" s="72" t="str">
        <f>SUBSTITUTE(ADDRESS(1, MATCH("Rent Amount", 'Rent and Occupancy Report'!22:22, 0), 4), "1", "")</f>
        <v>D</v>
      </c>
      <c r="C10" s="74" t="s">
        <v>9</v>
      </c>
      <c r="E10" s="62" t="s">
        <v>3</v>
      </c>
      <c r="F10" s="72">
        <f>MATCH("Property Contact (Phone)", 'Rent and Occupancy Report'!A:A, 0)</f>
        <v>7</v>
      </c>
      <c r="G10" s="74" t="s">
        <v>10</v>
      </c>
      <c r="H10" s="3"/>
      <c r="K10"/>
      <c r="O10"/>
    </row>
    <row r="11" spans="1:15" s="1" customFormat="1" x14ac:dyDescent="0.25">
      <c r="A11" s="2"/>
      <c r="C11" s="4"/>
      <c r="G11" s="3"/>
      <c r="H11" s="3"/>
      <c r="K11"/>
      <c r="O11"/>
    </row>
    <row r="12" spans="1:15" s="1" customFormat="1" x14ac:dyDescent="0.25">
      <c r="A12" s="71" t="s">
        <v>1</v>
      </c>
      <c r="B12" s="72" t="str">
        <f>SUBSTITUTE(ADDRESS(1, MATCH("Tenant(s) Name(s)", 'Rent and Occupancy Report'!22:22, 0), 4), "1", "")</f>
        <v>E</v>
      </c>
      <c r="C12" s="73" t="s">
        <v>11</v>
      </c>
      <c r="E12" s="62" t="s">
        <v>3</v>
      </c>
      <c r="F12" s="72">
        <f>MATCH("Property Contact (Email)", 'Rent and Occupancy Report'!A:A, 0)</f>
        <v>8</v>
      </c>
      <c r="G12" s="74" t="s">
        <v>12</v>
      </c>
      <c r="H12" s="3"/>
      <c r="K12"/>
      <c r="O12"/>
    </row>
    <row r="13" spans="1:15" s="1" customFormat="1" x14ac:dyDescent="0.25">
      <c r="A13" s="2"/>
      <c r="C13" s="3"/>
      <c r="G13" s="3"/>
      <c r="H13" s="3"/>
      <c r="K13"/>
      <c r="O13"/>
    </row>
    <row r="14" spans="1:15" s="1" customFormat="1" x14ac:dyDescent="0.25">
      <c r="A14" s="71" t="s">
        <v>1</v>
      </c>
      <c r="B14" s="72" t="str">
        <f>SUBSTITUTE(ADDRESS(1, MATCH("Household Size", 'Rent and Occupancy Report'!22:22, 0), 4), "1", "")</f>
        <v>F</v>
      </c>
      <c r="C14" s="73" t="s">
        <v>13</v>
      </c>
      <c r="E14" s="62" t="s">
        <v>3</v>
      </c>
      <c r="F14" s="72">
        <f>MATCH("Property", 'Rent and Occupancy Report'!A:A, 0)</f>
        <v>9</v>
      </c>
      <c r="G14" s="74" t="s">
        <v>14</v>
      </c>
      <c r="H14" s="3"/>
      <c r="K14"/>
      <c r="O14"/>
    </row>
    <row r="15" spans="1:15" s="1" customFormat="1" x14ac:dyDescent="0.25">
      <c r="A15" s="2"/>
      <c r="C15" s="3"/>
      <c r="G15" s="3"/>
      <c r="H15" s="3"/>
      <c r="K15"/>
      <c r="O15"/>
    </row>
    <row r="16" spans="1:15" s="1" customFormat="1" ht="30" x14ac:dyDescent="0.25">
      <c r="A16" s="71" t="s">
        <v>1</v>
      </c>
      <c r="B16" s="72" t="str">
        <f>SUBSTITUTE(ADDRESS(1, MATCH("Annual (Gross) Income", 'Rent and Occupancy Report'!22:22, 0), 4), "1", "")</f>
        <v>G</v>
      </c>
      <c r="C16" s="74" t="s">
        <v>15</v>
      </c>
      <c r="E16" s="62" t="s">
        <v>3</v>
      </c>
      <c r="F16" s="72">
        <f>MATCH("Recipient", 'Rent and Occupancy Report'!A:A, 0)</f>
        <v>10</v>
      </c>
      <c r="G16" s="74" t="s">
        <v>16</v>
      </c>
      <c r="H16" s="3"/>
      <c r="K16"/>
      <c r="O16"/>
    </row>
    <row r="17" spans="1:15" s="1" customFormat="1" x14ac:dyDescent="0.25">
      <c r="G17" s="4"/>
      <c r="H17" s="3"/>
      <c r="K17"/>
      <c r="O17"/>
    </row>
    <row r="18" spans="1:15" s="1" customFormat="1" x14ac:dyDescent="0.25">
      <c r="A18" s="71" t="s">
        <v>1</v>
      </c>
      <c r="B18" s="72" t="str">
        <f>SUBSTITUTE(ADDRESS(1, MATCH("% of AMI", 'Rent and Occupancy Report'!22:22, 0), 4), "1", "")</f>
        <v>H</v>
      </c>
      <c r="C18" s="74" t="s">
        <v>17</v>
      </c>
      <c r="E18" s="62" t="s">
        <v>3</v>
      </c>
      <c r="F18" s="72">
        <f>MATCH("Address", 'Rent and Occupancy Report'!A:A, 0)</f>
        <v>11</v>
      </c>
      <c r="G18" s="74" t="s">
        <v>18</v>
      </c>
      <c r="H18" s="3"/>
      <c r="K18"/>
      <c r="O18"/>
    </row>
    <row r="19" spans="1:15" s="1" customFormat="1" x14ac:dyDescent="0.25">
      <c r="G19" s="3"/>
      <c r="H19" s="3"/>
      <c r="K19"/>
      <c r="O19"/>
    </row>
    <row r="20" spans="1:15" s="1" customFormat="1" x14ac:dyDescent="0.25">
      <c r="A20" s="71" t="s">
        <v>1</v>
      </c>
      <c r="B20" s="72" t="str">
        <f>SUBSTITUTE(ADDRESS(1, MATCH("Unit Designation Equal Occupancy?", 'Rent and Occupancy Report'!22:22, 0), 4), "1", "")</f>
        <v>I</v>
      </c>
      <c r="C20" s="76" t="s">
        <v>19</v>
      </c>
      <c r="E20" s="62" t="s">
        <v>3</v>
      </c>
      <c r="F20" s="72">
        <f>MATCH("Total Units", 'Rent and Occupancy Report'!A:A, 0)</f>
        <v>13</v>
      </c>
      <c r="G20" s="75" t="s">
        <v>20</v>
      </c>
      <c r="H20" s="3"/>
      <c r="K20"/>
      <c r="O20"/>
    </row>
    <row r="21" spans="1:15" s="1" customFormat="1" x14ac:dyDescent="0.25">
      <c r="G21" s="3"/>
      <c r="H21" s="3"/>
      <c r="K21"/>
      <c r="O21"/>
    </row>
    <row r="22" spans="1:15" s="1" customFormat="1" ht="30" x14ac:dyDescent="0.25">
      <c r="A22" s="71" t="s">
        <v>1</v>
      </c>
      <c r="B22" s="72" t="str">
        <f>SUBSTITUTE(ADDRESS(1, MATCH("Date of Last Income Certification or Re-certification", 'Rent and Occupancy Report'!22:22, 0), 4), "1", "")</f>
        <v>M</v>
      </c>
      <c r="C22" s="74" t="s">
        <v>21</v>
      </c>
      <c r="E22" s="62" t="s">
        <v>3</v>
      </c>
      <c r="F22" s="72">
        <f>MATCH("Total Certified Performance Units", 'Rent and Occupancy Report'!A:A, 0)</f>
        <v>15</v>
      </c>
      <c r="G22" s="75" t="s">
        <v>22</v>
      </c>
      <c r="H22" s="3"/>
      <c r="K22"/>
      <c r="O22"/>
    </row>
    <row r="23" spans="1:15" s="1" customFormat="1" x14ac:dyDescent="0.25">
      <c r="A23" s="2"/>
      <c r="C23" s="4"/>
      <c r="G23" s="3"/>
      <c r="H23" s="3"/>
      <c r="K23"/>
      <c r="O23"/>
    </row>
    <row r="24" spans="1:15" s="1" customFormat="1" ht="30" x14ac:dyDescent="0.25">
      <c r="A24" s="71" t="s">
        <v>1</v>
      </c>
      <c r="B24" s="72" t="str">
        <f>SUBSTITUTE(ADDRESS(1, MATCH("Income Certification Validation", 'Rent and Occupancy Report'!22:22, 0), 4), "1", "")</f>
        <v>N</v>
      </c>
      <c r="C24" s="74" t="s">
        <v>23</v>
      </c>
      <c r="E24" s="62" t="s">
        <v>3</v>
      </c>
      <c r="F24" s="72">
        <f>MATCH("0-50% AMI Rental Units", 'Rent and Occupancy Report'!A:A, 0)</f>
        <v>16</v>
      </c>
      <c r="G24" s="75" t="s">
        <v>24</v>
      </c>
      <c r="H24" s="3"/>
      <c r="K24"/>
      <c r="O24"/>
    </row>
    <row r="25" spans="1:15" s="1" customFormat="1" x14ac:dyDescent="0.25">
      <c r="A25" s="2"/>
      <c r="C25" s="4"/>
      <c r="G25" s="3"/>
      <c r="H25" s="3"/>
      <c r="K25"/>
      <c r="O25"/>
    </row>
    <row r="26" spans="1:15" s="1" customFormat="1" ht="45" x14ac:dyDescent="0.25">
      <c r="A26" s="71" t="s">
        <v>1</v>
      </c>
      <c r="B26" s="72" t="str">
        <f>SUBSTITUTE(ADDRESS(1, MATCH("Virginia Housing Published Rent", 'Rent and Occupancy Report'!22:22, 0), 4), "1", "")</f>
        <v>O</v>
      </c>
      <c r="C26" s="74" t="s">
        <v>25</v>
      </c>
      <c r="E26" s="62" t="s">
        <v>3</v>
      </c>
      <c r="F26" s="72">
        <f>MATCH("51-80% AMI Rental Units", 'Rent and Occupancy Report'!A:A, 0)</f>
        <v>17</v>
      </c>
      <c r="G26" s="75" t="s">
        <v>26</v>
      </c>
      <c r="H26" s="3"/>
      <c r="K26"/>
      <c r="O26"/>
    </row>
    <row r="27" spans="1:15" s="1" customFormat="1" x14ac:dyDescent="0.25">
      <c r="A27" s="2"/>
      <c r="C27" s="3"/>
      <c r="G27" s="3"/>
      <c r="K27"/>
      <c r="O27"/>
    </row>
    <row r="28" spans="1:15" s="1" customFormat="1" ht="30" x14ac:dyDescent="0.25">
      <c r="A28" s="71" t="s">
        <v>1</v>
      </c>
      <c r="B28" s="72" t="str">
        <f>SUBSTITUTE(ADDRESS(1, MATCH("Utility Allowance", 'Rent and Occupancy Report'!22:22, 0), 4), "1", "")</f>
        <v>P</v>
      </c>
      <c r="C28" s="74" t="s">
        <v>27</v>
      </c>
      <c r="E28" s="62" t="s">
        <v>3</v>
      </c>
      <c r="F28" s="72">
        <f>MATCH("Name", 'Rent and Occupancy Report'!A:A, 0)</f>
        <v>19</v>
      </c>
      <c r="G28" s="77" t="s">
        <v>28</v>
      </c>
      <c r="K28"/>
      <c r="O28"/>
    </row>
    <row r="29" spans="1:15" s="1" customFormat="1" x14ac:dyDescent="0.25">
      <c r="A29" s="2"/>
      <c r="C29" s="3"/>
      <c r="G29" s="3"/>
      <c r="K29"/>
      <c r="O29"/>
    </row>
    <row r="30" spans="1:15" s="1" customFormat="1" x14ac:dyDescent="0.25">
      <c r="A30" s="71" t="s">
        <v>1</v>
      </c>
      <c r="B30" s="72" t="str">
        <f>SUBSTITUTE(ADDRESS(1, MATCH("Maximum Allowed Rent", 'Rent and Occupancy Report'!22:22, 0), 4), "1", "")</f>
        <v>Q</v>
      </c>
      <c r="C30" s="74" t="s">
        <v>29</v>
      </c>
      <c r="E30" s="62" t="s">
        <v>3</v>
      </c>
      <c r="F30" s="72">
        <f>MATCH("Title", 'Rent and Occupancy Report'!A:A, 0)</f>
        <v>20</v>
      </c>
      <c r="G30" s="77" t="s">
        <v>30</v>
      </c>
      <c r="K30"/>
      <c r="O30"/>
    </row>
    <row r="31" spans="1:15" s="1" customFormat="1" x14ac:dyDescent="0.25">
      <c r="A31" s="2"/>
      <c r="C31" s="4"/>
      <c r="K31"/>
      <c r="O31"/>
    </row>
    <row r="32" spans="1:15" s="1" customFormat="1" x14ac:dyDescent="0.25">
      <c r="A32" s="71" t="s">
        <v>1</v>
      </c>
      <c r="B32" s="72" t="str">
        <f>SUBSTITUTE(ADDRESS(1, MATCH("Tenant Portion of Rent", 'Rent and Occupancy Report'!22:22, 0), 4), "1", "")</f>
        <v>R</v>
      </c>
      <c r="C32" s="74" t="s">
        <v>31</v>
      </c>
      <c r="K32"/>
      <c r="O32"/>
    </row>
    <row r="33" spans="1:15" s="1" customFormat="1" x14ac:dyDescent="0.25">
      <c r="A33" s="2"/>
      <c r="C33" s="3"/>
      <c r="K33"/>
      <c r="O33"/>
    </row>
    <row r="34" spans="1:15" s="1" customFormat="1" x14ac:dyDescent="0.25">
      <c r="A34" s="71" t="s">
        <v>1</v>
      </c>
      <c r="B34" s="72" t="str">
        <f>SUBSTITUTE(ADDRESS(1, MATCH("Subsidy Amount", 'Rent and Occupancy Report'!22:22, 0), 4), "1", "")</f>
        <v>S</v>
      </c>
      <c r="C34" s="74" t="s">
        <v>32</v>
      </c>
      <c r="K34"/>
      <c r="O34"/>
    </row>
    <row r="35" spans="1:15" s="1" customFormat="1" x14ac:dyDescent="0.25">
      <c r="A35" s="2"/>
      <c r="C35" s="4"/>
      <c r="K35"/>
      <c r="O35"/>
    </row>
    <row r="36" spans="1:15" s="1" customFormat="1" x14ac:dyDescent="0.25">
      <c r="A36" s="71" t="s">
        <v>1</v>
      </c>
      <c r="B36" s="72" t="str">
        <f>SUBSTITUTE(ADDRESS(1, MATCH("Gross Rent", 'Rent and Occupancy Report'!22:22, 0), 4), "1", "")</f>
        <v>T</v>
      </c>
      <c r="C36" s="74" t="s">
        <v>33</v>
      </c>
      <c r="K36"/>
      <c r="O36"/>
    </row>
    <row r="37" spans="1:15" s="1" customFormat="1" x14ac:dyDescent="0.25">
      <c r="A37" s="2"/>
      <c r="C37" s="3"/>
      <c r="K37"/>
      <c r="O37"/>
    </row>
    <row r="38" spans="1:15" s="1" customFormat="1" x14ac:dyDescent="0.25">
      <c r="A38" s="71" t="s">
        <v>1</v>
      </c>
      <c r="B38" s="72" t="str">
        <f>SUBSTITUTE(ADDRESS(1, MATCH("Unit in Compliance? (Y or N)", 'Rent and Occupancy Report'!22:22, 0), 4), "1", "")</f>
        <v>U</v>
      </c>
      <c r="C38" s="74" t="s">
        <v>34</v>
      </c>
      <c r="K38"/>
      <c r="O38"/>
    </row>
    <row r="39" spans="1:15" s="1" customFormat="1" x14ac:dyDescent="0.25">
      <c r="A39" s="2"/>
      <c r="C39" s="3"/>
      <c r="K39"/>
      <c r="O39"/>
    </row>
    <row r="40" spans="1:15" s="1" customFormat="1" x14ac:dyDescent="0.25">
      <c r="A40" s="71" t="s">
        <v>1</v>
      </c>
      <c r="B40" s="72" t="str">
        <f>SUBSTITUTE(ADDRESS(1, MATCH("Subsidy Type", 'Rent and Occupancy Report'!22:22, 0), 4), "1", "")</f>
        <v>V</v>
      </c>
      <c r="C40" s="74" t="s">
        <v>35</v>
      </c>
      <c r="K40"/>
      <c r="O40"/>
    </row>
    <row r="41" spans="1:15" x14ac:dyDescent="0.25">
      <c r="A41" s="2"/>
      <c r="B41" s="1"/>
      <c r="C41" s="3"/>
      <c r="G41"/>
    </row>
    <row r="42" spans="1:15" x14ac:dyDescent="0.25">
      <c r="A42" s="71" t="s">
        <v>1</v>
      </c>
      <c r="B42" s="72" t="str">
        <f>SUBSTITUTE(ADDRESS(1, MATCH("Comments", 'Rent and Occupancy Report'!22:22, 0), 4), "1", "")</f>
        <v>W</v>
      </c>
      <c r="C42" s="73" t="s">
        <v>36</v>
      </c>
    </row>
  </sheetData>
  <sheetProtection selectLockedCells="1" selectUnlockedCells="1"/>
  <mergeCells count="1">
    <mergeCell ref="A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00"/>
  <sheetViews>
    <sheetView zoomScale="80" zoomScaleNormal="80" workbookViewId="0">
      <selection activeCell="S32" sqref="S32"/>
    </sheetView>
  </sheetViews>
  <sheetFormatPr defaultColWidth="9.140625" defaultRowHeight="15" x14ac:dyDescent="0.25"/>
  <cols>
    <col min="1" max="1" width="30.5703125" style="1" bestFit="1" customWidth="1"/>
    <col min="2" max="2" width="20.85546875" style="1" bestFit="1" customWidth="1"/>
    <col min="3" max="3" width="19.28515625" style="1" customWidth="1"/>
    <col min="4" max="4" width="17.28515625" style="1" customWidth="1"/>
    <col min="5" max="5" width="21.28515625" style="1" bestFit="1" customWidth="1"/>
    <col min="6" max="6" width="16.140625" style="1" customWidth="1"/>
    <col min="7" max="7" width="14.28515625" style="1" bestFit="1" customWidth="1"/>
    <col min="8" max="9" width="19.28515625" style="1" customWidth="1"/>
    <col min="10" max="12" width="14.28515625" style="1" customWidth="1"/>
    <col min="13" max="13" width="23.28515625" style="1" bestFit="1" customWidth="1"/>
    <col min="14" max="14" width="20" style="1" bestFit="1" customWidth="1"/>
    <col min="15" max="15" width="16.140625" style="1" bestFit="1" customWidth="1"/>
    <col min="16" max="16" width="15.42578125" style="1" customWidth="1"/>
    <col min="17" max="17" width="17.28515625" style="1" bestFit="1" customWidth="1"/>
    <col min="18" max="20" width="15.42578125" style="1" customWidth="1"/>
    <col min="21" max="21" width="19.28515625" style="1" customWidth="1"/>
    <col min="22" max="22" width="22.28515625" style="1" bestFit="1" customWidth="1"/>
    <col min="23" max="23" width="54.7109375" style="1" customWidth="1"/>
    <col min="24" max="16384" width="9.140625" style="1"/>
  </cols>
  <sheetData>
    <row r="1" spans="1:14" ht="15.75" thickBot="1" x14ac:dyDescent="0.3">
      <c r="A1" s="109" t="s">
        <v>37</v>
      </c>
      <c r="B1" s="110"/>
      <c r="C1" s="110"/>
      <c r="D1" s="111"/>
      <c r="E1" s="7"/>
      <c r="H1" s="7"/>
      <c r="I1" s="7"/>
    </row>
    <row r="2" spans="1:14" ht="15.75" thickBot="1" x14ac:dyDescent="0.3"/>
    <row r="3" spans="1:14" x14ac:dyDescent="0.25">
      <c r="A3" s="32" t="s">
        <v>38</v>
      </c>
      <c r="B3" s="78"/>
    </row>
    <row r="4" spans="1:14" ht="15.75" thickBot="1" x14ac:dyDescent="0.3">
      <c r="A4" s="33" t="s">
        <v>39</v>
      </c>
      <c r="B4" s="39" t="s">
        <v>40</v>
      </c>
    </row>
    <row r="5" spans="1:14" ht="15.75" thickBot="1" x14ac:dyDescent="0.3">
      <c r="A5" s="7"/>
      <c r="D5" s="112" t="s">
        <v>41</v>
      </c>
      <c r="E5" s="113"/>
      <c r="F5" s="114"/>
      <c r="H5" s="112" t="s">
        <v>42</v>
      </c>
      <c r="I5" s="113"/>
      <c r="J5" s="114"/>
    </row>
    <row r="6" spans="1:14" ht="15.75" thickBot="1" x14ac:dyDescent="0.3">
      <c r="A6" s="32" t="s">
        <v>43</v>
      </c>
      <c r="B6" s="51"/>
      <c r="D6" s="83">
        <v>0.2</v>
      </c>
      <c r="E6" s="81" t="str">
        <f>IF(OR(COUNTIF($U$23:$U$500, "Y")=0), "", COUNTIFS($U$23:$U$500, "Y", $C$23:$C$500, "=20"))</f>
        <v/>
      </c>
      <c r="F6" s="84" t="str">
        <f>"of " &amp; IF(OR(COUNTIF( $C$23:$C$500, "=20")=0), 0, COUNTIF($C$23:$C$500, "=20"))</f>
        <v>of 0</v>
      </c>
      <c r="G6" s="3"/>
      <c r="H6" s="83">
        <v>0.2</v>
      </c>
      <c r="I6" s="81" t="str">
        <f>IF(OR(COUNTIF($U$23:$U$500, "N")=0), "", COUNTIFS($U$23:$U$500, "N", $C$23:$C$500, "=20"))</f>
        <v/>
      </c>
      <c r="J6" s="84" t="str">
        <f>"of " &amp; IF(OR(COUNTIF( $C$23:$C$500, "=20")=0), 0, COUNTIF($C$23:$C$500, "=20"))</f>
        <v>of 0</v>
      </c>
      <c r="L6" s="112" t="s">
        <v>44</v>
      </c>
      <c r="M6" s="113"/>
      <c r="N6" s="114"/>
    </row>
    <row r="7" spans="1:14" x14ac:dyDescent="0.25">
      <c r="A7" s="34" t="s">
        <v>45</v>
      </c>
      <c r="B7" s="52"/>
      <c r="D7" s="85">
        <v>0.3</v>
      </c>
      <c r="E7" s="81" t="str">
        <f>IF(OR(COUNTIF($U$23:$U$500, "Y")=0), "", COUNTIFS($U$23:$U$500, "Y", $C$23:$C$500, "=30"))</f>
        <v/>
      </c>
      <c r="F7" s="84" t="str">
        <f>"of " &amp; IF(OR(COUNTIF( $C$23:$C$500, "=30")=0), 0, COUNTIF($C$23:$C$500, "=30"))</f>
        <v>of 0</v>
      </c>
      <c r="H7" s="85">
        <v>0.3</v>
      </c>
      <c r="I7" s="81" t="str">
        <f>IF(OR(COUNTIF($U$23:$U$500, "N")=0), "", COUNTIFS($U$23:$U$500, "N", $C$23:$C$500, "=30"))</f>
        <v/>
      </c>
      <c r="J7" s="84" t="str">
        <f>"of " &amp; IF(OR(COUNTIF( $C$23:$C$500, "=30")=0), 0, COUNTIF($C$23:$C$500, "=30"))</f>
        <v>of 0</v>
      </c>
      <c r="L7" s="119" t="s">
        <v>46</v>
      </c>
      <c r="M7" s="120"/>
      <c r="N7" s="99"/>
    </row>
    <row r="8" spans="1:14" x14ac:dyDescent="0.25">
      <c r="A8" s="34" t="s">
        <v>47</v>
      </c>
      <c r="B8" s="97"/>
      <c r="D8" s="85">
        <v>0.4</v>
      </c>
      <c r="E8" s="81" t="str">
        <f>IF(OR(COUNTIF($U$23:$U$500, "Y")=0), "", COUNTIFS($U$23:$U$500, "Y", $C$23:$C$500, "=40"))</f>
        <v/>
      </c>
      <c r="F8" s="84" t="str">
        <f>"of "&amp;IF(OR(COUNTIF($C$23:$C$500,"=40")=0),0,COUNTIF($C$23:$C$500,"=""40"))</f>
        <v>of 0</v>
      </c>
      <c r="H8" s="85">
        <v>0.4</v>
      </c>
      <c r="I8" s="81" t="str">
        <f>IF(OR(COUNTIF($U$23:$U$500, "N")=0), "", COUNTIFS($U$23:$U$500, "N", $C$23:$C$500, "=40"))</f>
        <v/>
      </c>
      <c r="J8" s="84" t="str">
        <f>"of "&amp;IF(OR(COUNTIF($C$23:$C$500,"=40")=0),0,COUNTIF($C$23:$C$500,"=""40"))</f>
        <v>of 0</v>
      </c>
      <c r="L8" s="101" t="s">
        <v>48</v>
      </c>
      <c r="M8"/>
      <c r="N8" s="99"/>
    </row>
    <row r="9" spans="1:14" x14ac:dyDescent="0.25">
      <c r="A9" s="34" t="s">
        <v>49</v>
      </c>
      <c r="B9" s="52"/>
      <c r="D9" s="85">
        <v>0.5</v>
      </c>
      <c r="E9" s="81" t="str">
        <f>IF(OR(COUNTIF($U$23:$U$500, "Y")=0), "", COUNTIFS($U$23:$U$500, "Y", $C$23:$C$500, "=50"))</f>
        <v/>
      </c>
      <c r="F9" s="84" t="str">
        <f>"of " &amp; IF(OR(COUNTIF( $C$23:$C$500, "=50")=0), 0, COUNTIF($C$23:$C$500, "=50"))</f>
        <v>of 0</v>
      </c>
      <c r="H9" s="85">
        <v>0.5</v>
      </c>
      <c r="I9" s="81" t="str">
        <f>IF(OR(COUNTIF($U$23:$U$500, "N")=0), "", COUNTIFS($U$23:$U$500, "N", $C$23:$C$500, "=50"))</f>
        <v/>
      </c>
      <c r="J9" s="84" t="str">
        <f>"of " &amp; IF(OR(COUNTIF( $C$23:$C$500, "=50")=0), 0, COUNTIF($C$23:$C$500, "=50"))</f>
        <v>of 0</v>
      </c>
      <c r="L9" s="101" t="s">
        <v>50</v>
      </c>
      <c r="M9" s="121"/>
      <c r="N9" s="122"/>
    </row>
    <row r="10" spans="1:14" ht="15.75" thickBot="1" x14ac:dyDescent="0.3">
      <c r="A10" s="35" t="s">
        <v>51</v>
      </c>
      <c r="B10" s="52"/>
      <c r="D10" s="85">
        <v>0.6</v>
      </c>
      <c r="E10" s="81" t="str">
        <f>IF(OR(COUNTIF($U$23:$U$500, "Y")=0), "", COUNTIFS($U$23:$U$500, "Y", $C$23:$C$500, "=60"))</f>
        <v/>
      </c>
      <c r="F10" s="84" t="str">
        <f>"of " &amp; IF(OR(COUNTIF( $C$23:$C$500, "=60")=0), 0, COUNTIF($C$23:$C$500, "=60"))</f>
        <v>of 0</v>
      </c>
      <c r="H10" s="85">
        <v>0.6</v>
      </c>
      <c r="I10" s="81" t="str">
        <f>IF(OR(COUNTIF($U$23:$U$500, "N")=0), "", COUNTIFS($U$23:$U$500, "N", $C$23:$C$500, "=60"))</f>
        <v/>
      </c>
      <c r="J10" s="84" t="str">
        <f>"of " &amp; IF(OR(COUNTIF( $C$23:$C$500, "=60")=0), 0, COUNTIF($C$23:$C$500, "=60"))</f>
        <v>of 0</v>
      </c>
      <c r="L10" s="123" t="s">
        <v>52</v>
      </c>
      <c r="M10" s="124"/>
      <c r="N10" s="100"/>
    </row>
    <row r="11" spans="1:14" ht="15.75" thickBot="1" x14ac:dyDescent="0.3">
      <c r="A11" s="33" t="s">
        <v>53</v>
      </c>
      <c r="B11" s="8"/>
      <c r="D11" s="85">
        <v>0.7</v>
      </c>
      <c r="E11" s="81" t="str">
        <f>IF(OR(COUNTIF($U$23:$U$500, "Y")=0), "", COUNTIFS($U$23:$U$500, "Y", $C$23:$C$500, "=70"))</f>
        <v/>
      </c>
      <c r="F11" s="84" t="str">
        <f>"of " &amp; IF(OR(COUNTIF( $C$23:$C$500, "=70")=0), 0, COUNTIF($C$23:$C$500, "=70"))</f>
        <v>of 0</v>
      </c>
      <c r="H11" s="85">
        <v>0.7</v>
      </c>
      <c r="I11" s="81" t="str">
        <f>IF(OR(COUNTIF($U$23:$U$500, "N")=0), "", COUNTIFS($U$23:$U$500, "N", $C$23:$C$500, "=70"))</f>
        <v/>
      </c>
      <c r="J11" s="84" t="str">
        <f>"of " &amp; IF(OR(COUNTIF( $C$23:$C$500, "=70")=0), 0, COUNTIF($C$23:$C$500, "=70"))</f>
        <v>of 0</v>
      </c>
    </row>
    <row r="12" spans="1:14" ht="15.75" thickBot="1" x14ac:dyDescent="0.3">
      <c r="D12" s="86">
        <v>0.8</v>
      </c>
      <c r="E12" s="81" t="str">
        <f>IF(OR(COUNTIF($U$23:$U$500, "Y")=0), "", COUNTIFS($U$23:$U$500, "Y", $C$23:$C$500, "=80"))</f>
        <v/>
      </c>
      <c r="F12" s="84" t="str">
        <f>"of " &amp; IF(OR(COUNTIF( $C$23:$C$500, "=80")=0), 0, COUNTIF($C$23:$C$500, "=80"))</f>
        <v>of 0</v>
      </c>
      <c r="H12" s="86">
        <v>0.8</v>
      </c>
      <c r="I12" s="81" t="str">
        <f>IF(OR(COUNTIF($U$23:$U$500, "N")=0), "", COUNTIFS($U$23:$U$500, "N", $C$23:$C$500, "=80"))</f>
        <v/>
      </c>
      <c r="J12" s="84" t="str">
        <f>"of " &amp; IF(OR(COUNTIF( $C$23:$C$500, "=80")=0), 0, COUNTIF($C$23:$C$500, "=80"))</f>
        <v>of 0</v>
      </c>
    </row>
    <row r="13" spans="1:14" ht="15.75" thickBot="1" x14ac:dyDescent="0.3">
      <c r="A13" s="32" t="s">
        <v>54</v>
      </c>
      <c r="B13" s="51"/>
      <c r="D13" s="80" t="s">
        <v>55</v>
      </c>
      <c r="E13" s="40" t="str">
        <f>IF(OR(SUM(E6:E12)=0), "", SUM(E6:E12))</f>
        <v/>
      </c>
      <c r="F13" s="41" t="str">
        <f>"of " &amp; B15</f>
        <v>of 0</v>
      </c>
      <c r="H13" s="80" t="s">
        <v>55</v>
      </c>
      <c r="I13" s="40" t="str">
        <f>IF(OR(SUM(I6:I12)=0), "", SUM(I6:I12))</f>
        <v/>
      </c>
      <c r="J13" s="41" t="str">
        <f>"of " &amp; B15</f>
        <v>of 0</v>
      </c>
    </row>
    <row r="14" spans="1:14" ht="15.75" thickBot="1" x14ac:dyDescent="0.3">
      <c r="A14" s="88" t="s">
        <v>56</v>
      </c>
      <c r="B14" s="38" t="str">
        <f>IF(OR(SUM(B16:B17)=0), "", SUM(B16:B17))</f>
        <v/>
      </c>
      <c r="D14" s="87" t="s">
        <v>57</v>
      </c>
      <c r="E14" s="115" t="str" cm="1">
        <f t="array" ref="E14">IF(OR(E13=""),"",(SUMPRODUCT((E6:E12&gt;0)*(D6:D12)*(E6:E12)) / SUMIFS(E6:E12, E6:E12, "&gt;0") *100 &amp; "%"))</f>
        <v/>
      </c>
      <c r="F14" s="116"/>
      <c r="H14" s="87" t="s">
        <v>57</v>
      </c>
      <c r="I14" s="117" t="str" cm="1">
        <f t="array" ref="I14">IF(OR(I13=""),"",(SUMPRODUCT((I6:I12&gt;0)*(H6:H12)*(I6:I12)) / SUMIFS(I6:I12, I6:I12, "&gt;0") *100 &amp; "%"))</f>
        <v/>
      </c>
      <c r="J14" s="118"/>
    </row>
    <row r="15" spans="1:14" x14ac:dyDescent="0.25">
      <c r="A15" s="88" t="s">
        <v>58</v>
      </c>
      <c r="B15" s="92">
        <f>COUNTIFS(M23:M501, "&gt;0", C23:C501, "&lt;=80", C23:C501, "&lt;&gt;")</f>
        <v>0</v>
      </c>
    </row>
    <row r="16" spans="1:14" x14ac:dyDescent="0.25">
      <c r="A16" s="88" t="s">
        <v>59</v>
      </c>
      <c r="B16" s="38" t="str">
        <f>IF(OR(COUNTIF(C23:C501, "&lt;=50")=0),"", COUNTIF(C23:C501, "&lt;=50"))</f>
        <v/>
      </c>
    </row>
    <row r="17" spans="1:23" ht="15.75" thickBot="1" x14ac:dyDescent="0.3">
      <c r="A17" s="89" t="s">
        <v>60</v>
      </c>
      <c r="B17" s="39" t="str">
        <f>IF(OR(COUNTIFS(C23:C501, "&gt;=51", C23:C501, "&lt;=80")=0), "", COUNTIFS(C23:C501, "&gt;=51", C23:C501, "&lt;=80"))</f>
        <v/>
      </c>
    </row>
    <row r="18" spans="1:23" ht="15.75" thickBot="1" x14ac:dyDescent="0.3"/>
    <row r="19" spans="1:23" x14ac:dyDescent="0.25">
      <c r="A19" s="36" t="s">
        <v>61</v>
      </c>
      <c r="B19" s="51"/>
    </row>
    <row r="20" spans="1:23" ht="15.75" thickBot="1" x14ac:dyDescent="0.3">
      <c r="A20" s="37" t="s">
        <v>62</v>
      </c>
      <c r="B20" s="8"/>
    </row>
    <row r="21" spans="1:23" ht="15.75" thickBot="1" x14ac:dyDescent="0.3">
      <c r="A21" s="53"/>
    </row>
    <row r="22" spans="1:23" ht="39.75" thickBot="1" x14ac:dyDescent="0.3">
      <c r="A22" s="93" t="s">
        <v>63</v>
      </c>
      <c r="B22" s="94" t="s">
        <v>64</v>
      </c>
      <c r="C22" s="94" t="s">
        <v>65</v>
      </c>
      <c r="D22" s="95" t="s">
        <v>66</v>
      </c>
      <c r="E22" s="94" t="s">
        <v>67</v>
      </c>
      <c r="F22" s="94" t="s">
        <v>68</v>
      </c>
      <c r="G22" s="94" t="s">
        <v>69</v>
      </c>
      <c r="H22" s="94" t="s">
        <v>70</v>
      </c>
      <c r="I22" s="94" t="s">
        <v>71</v>
      </c>
      <c r="J22" s="94" t="s">
        <v>72</v>
      </c>
      <c r="K22" s="94" t="s">
        <v>73</v>
      </c>
      <c r="L22" s="94" t="s">
        <v>74</v>
      </c>
      <c r="M22" s="94" t="s">
        <v>75</v>
      </c>
      <c r="N22" s="94" t="s">
        <v>76</v>
      </c>
      <c r="O22" s="94" t="s">
        <v>77</v>
      </c>
      <c r="P22" s="94" t="s">
        <v>78</v>
      </c>
      <c r="Q22" s="95" t="s">
        <v>79</v>
      </c>
      <c r="R22" s="94" t="s">
        <v>80</v>
      </c>
      <c r="S22" s="94" t="s">
        <v>81</v>
      </c>
      <c r="T22" s="94" t="s">
        <v>82</v>
      </c>
      <c r="U22" s="94" t="s">
        <v>83</v>
      </c>
      <c r="V22" s="94" t="s">
        <v>84</v>
      </c>
      <c r="W22" s="96" t="s">
        <v>85</v>
      </c>
    </row>
    <row r="23" spans="1:23" x14ac:dyDescent="0.25">
      <c r="A23" s="103"/>
      <c r="B23" s="104"/>
      <c r="C23" s="104"/>
      <c r="D23" s="105"/>
      <c r="E23" s="104"/>
      <c r="F23" s="104"/>
      <c r="G23" s="106"/>
      <c r="H23" s="82" t="str" cm="1">
        <f t="array" ref="H23">IF(OR(F23="", G23=""), "",
  _xlfn.LET(
    _xlpm.rowIndex, MATCH(F23, INDEX(IncomeTable,,1), 0),
    _xlpm.thresholds, INDEX(IncomeTable, _xlpm.rowIndex, 2):INDEX(IncomeTable, _xlpm.rowIndex, 8),
    _xlpm.labels, {20,30,40,50,60,70,80},
    _xlpm.income, G23,
    IF(_xlpm.income &lt; INDEX(_xlpm.thresholds,1), "Below 20%",
      IF(_xlpm.income &gt; INDEX(_xlpm.thresholds,7), "Above 80%",
        INDEX(_xlpm.labels, _xlfn.XLOOKUP(_xlpm.income, _xlpm.thresholds, _xlfn.SEQUENCE(1,7), , -1))
      )
    )
  )
)</f>
        <v/>
      </c>
      <c r="I23" s="42" t="str">
        <f>IF(AND(ISNUMBER(C23), ISNUMBER(H23)), IF(C23=H23, "Y", "N"), "")</f>
        <v/>
      </c>
      <c r="J23" s="54"/>
      <c r="K23" s="54"/>
      <c r="L23" s="54"/>
      <c r="M23" s="54"/>
      <c r="N23" s="91" t="str">
        <f>IF(OR(L23="",M23="",J23=""),"",
IF(L23="Y",
IF(M23&lt;=J23,"Y","N"),
IF(M23&lt;=DATE(YEAR(J23),3,31),"Y","N")
))</f>
        <v/>
      </c>
      <c r="O23" s="46" t="str">
        <f>IF(OR(C23="", B23=""), "",
  INDEX(RentTable, MATCH(B23, {0,1,2,3,4}, 0), MATCH(C23, {20,30,40,50,60,70,80}, 1))
)</f>
        <v/>
      </c>
      <c r="P23" s="55"/>
      <c r="Q23" s="48" t="str">
        <f>IF(OR(O23="", ISBLANK(O23), O23=0), "", O23 - P23)</f>
        <v/>
      </c>
      <c r="R23" s="55"/>
      <c r="S23" s="60"/>
      <c r="T23" s="48" t="str">
        <f>IF(OR(R23=""), "", R23 + S23)</f>
        <v/>
      </c>
      <c r="U23" s="79" t="str" cm="1">
        <f t="array" ref="U23">_xlfn.IFS(OR(Q23="", T23="", Q23=0, "", T23=0), "", AND(T23&lt;=Q23,D23&lt;=Q23), "Y", OR(T23&gt;Q23,D23&gt;Q23), "N")</f>
        <v/>
      </c>
      <c r="V23" s="56"/>
      <c r="W23" s="57"/>
    </row>
    <row r="24" spans="1:23" x14ac:dyDescent="0.25">
      <c r="A24" s="59"/>
      <c r="B24" s="59"/>
      <c r="C24" s="59"/>
      <c r="D24" s="60"/>
      <c r="E24" s="59"/>
      <c r="F24" s="59"/>
      <c r="G24" s="60"/>
      <c r="H24" s="102" t="str" cm="1">
        <f t="array" ref="H24">IF(OR(F24="", G24=""), "",
  _xlfn.LET(
    _xlpm.rowIndex, MATCH(F24, INDEX(IncomeTable,,1), 0),
    _xlpm.thresholds, INDEX(IncomeTable, _xlpm.rowIndex, 2):INDEX(IncomeTable, _xlpm.rowIndex, 8),
    _xlpm.labels, {20,30,40,50,60,70,80},
    _xlpm.income, G24,
    IF(_xlpm.income &lt; INDEX(_xlpm.thresholds,1), "Below 20%",
      IF(_xlpm.income &gt; INDEX(_xlpm.thresholds,7), "Above 80%",
        INDEX(_xlpm.labels, _xlfn.XLOOKUP(_xlpm.income, _xlpm.thresholds, _xlfn.SEQUENCE(1,7), , -1))
      )
    )
  )
)</f>
        <v/>
      </c>
      <c r="I24" s="42" t="str">
        <f>IF(AND(ISNUMBER(C24), ISNUMBER(H24)), IF(C24=H24, "Y", "N"), "")</f>
        <v/>
      </c>
      <c r="J24" s="61"/>
      <c r="K24" s="61"/>
      <c r="L24" s="61"/>
      <c r="M24" s="61"/>
      <c r="N24" s="47" t="str">
        <f t="shared" ref="N24:N87" si="0">IF(OR(L24="",M24="",J24=""),"",
IF(L24="Y",
IF(M24&lt;=J24,"Y","N"),
IF(M24&lt;=DATE(YEAR(J24),3,31),"Y","N")
))</f>
        <v/>
      </c>
      <c r="O24" s="48" t="str">
        <f>IF(OR(C24="", B24=""), "",
  INDEX(RentTable, MATCH(B24, {0,1,2,3,4}, 0), MATCH(C24, {20,30,40,50,60,70,80}, 1))
)</f>
        <v/>
      </c>
      <c r="P24" s="60"/>
      <c r="Q24" s="48" t="str">
        <f>IF(OR(O24="", ISBLANK(O24), O24=0), "", O24 - P24)</f>
        <v/>
      </c>
      <c r="R24" s="60"/>
      <c r="T24" s="48" t="str">
        <f t="shared" ref="T24:T86" si="1">IF(OR(R24=""), "", R24 + S24)</f>
        <v/>
      </c>
      <c r="U24" s="42" t="str" cm="1">
        <f t="array" ref="U24">_xlfn.IFS(OR(Q24="", T24="", Q24=0, "", T24=0), "", AND(T24&lt;=Q24,D24&lt;=Q24), "Y", OR(T24&gt;Q24,D24&gt;Q24), "N")</f>
        <v/>
      </c>
      <c r="V24" s="62"/>
      <c r="W24" s="63"/>
    </row>
    <row r="25" spans="1:23" x14ac:dyDescent="0.25">
      <c r="A25" s="107"/>
      <c r="B25" s="108"/>
      <c r="C25" s="108"/>
      <c r="D25" s="90"/>
      <c r="E25" s="108"/>
      <c r="F25" s="108"/>
      <c r="G25" s="90"/>
      <c r="H25" s="43" t="str" cm="1">
        <f t="array" ref="H25">IF(OR(F25="", G25=""), "",
  _xlfn.LET(
    _xlpm.rowIndex, MATCH(F25, INDEX(IncomeTable,,1), 0),
    _xlpm.thresholds, INDEX(IncomeTable, _xlpm.rowIndex, 2):INDEX(IncomeTable, _xlpm.rowIndex, 8),
    _xlpm.labels, {20,30,40,50,60,70,80},
    _xlpm.income, G25,
    IF(_xlpm.income &lt; INDEX(_xlpm.thresholds,1), "Below 20%",
      IF(_xlpm.income &gt; INDEX(_xlpm.thresholds,7), "Above 80%",
        INDEX(_xlpm.labels, _xlfn.XLOOKUP(_xlpm.income, _xlpm.thresholds, _xlfn.SEQUENCE(1,7), , -1))
      )
    )
  )
)</f>
        <v/>
      </c>
      <c r="I25" s="43" t="str">
        <f>IF(AND(ISNUMBER(C25), ISNUMBER(H25)), IF(C25=H25, "Y", "N"), "")</f>
        <v/>
      </c>
      <c r="J25" s="61"/>
      <c r="K25" s="61"/>
      <c r="L25" s="61"/>
      <c r="M25" s="61"/>
      <c r="N25" s="47" t="str">
        <f t="shared" si="0"/>
        <v/>
      </c>
      <c r="O25" s="48" t="str">
        <f>IF(OR(C25="", B25=""), "",
  INDEX(RentTable, MATCH(B25, {0,1,2,3,4}, 0), MATCH(C25, {20,30,40,50,60,70,80}, 1))
)</f>
        <v/>
      </c>
      <c r="P25" s="60"/>
      <c r="Q25" s="48" t="str">
        <f>IF(OR(O25="", ISBLANK(O25), O25=0), "", O25 - P25)</f>
        <v/>
      </c>
      <c r="R25" s="60"/>
      <c r="S25" s="60"/>
      <c r="T25" s="48" t="str">
        <f t="shared" si="1"/>
        <v/>
      </c>
      <c r="U25" s="42" t="str" cm="1">
        <f t="array" ref="U25">_xlfn.IFS(OR(Q25="", T25="", Q25=0, "", T25=0), "", AND(T25&lt;=Q25,D25&lt;=Q25), "Y", OR(T25&gt;Q25,D25&gt;Q25), "N")</f>
        <v/>
      </c>
      <c r="V25" s="62"/>
      <c r="W25" s="63"/>
    </row>
    <row r="26" spans="1:23" x14ac:dyDescent="0.25">
      <c r="A26" s="58"/>
      <c r="B26" s="59"/>
      <c r="C26" s="59"/>
      <c r="D26" s="60"/>
      <c r="E26" s="59"/>
      <c r="F26" s="59"/>
      <c r="G26" s="60"/>
      <c r="H26" s="43" t="str" cm="1">
        <f t="array" ref="H26">IF(OR(F26="", G26=""), "",
  _xlfn.LET(
    _xlpm.rowIndex, MATCH(F26, INDEX(IncomeTable,,1), 0),
    _xlpm.thresholds, INDEX(IncomeTable, _xlpm.rowIndex, 2):INDEX(IncomeTable, _xlpm.rowIndex, 8),
    _xlpm.labels, {20,30,40,50,60,70,80},
    _xlpm.income, G26,
    IF(_xlpm.income &lt; INDEX(_xlpm.thresholds,1), "Below 20%",
      IF(_xlpm.income &gt; INDEX(_xlpm.thresholds,7), "Above 80%",
        INDEX(_xlpm.labels, _xlfn.XLOOKUP(_xlpm.income, _xlpm.thresholds, _xlfn.SEQUENCE(1,7), , -1))
      )
    )
  )
)</f>
        <v/>
      </c>
      <c r="I26" s="42" t="str">
        <f>IF(AND(ISNUMBER(C26), ISNUMBER(H26)), IF(C26=H26, "Y", "N"), "")</f>
        <v/>
      </c>
      <c r="J26" s="61"/>
      <c r="K26" s="64"/>
      <c r="L26" s="61"/>
      <c r="M26" s="61"/>
      <c r="N26" s="47" t="str">
        <f t="shared" si="0"/>
        <v/>
      </c>
      <c r="O26" s="48" t="str">
        <f>IF(OR(C26="", B26=""), "",
  INDEX(RentTable, MATCH(B26, {0,1,2,3,4}, 0), MATCH(C26, {20,30,40,50,60,70,80}, 1))
)</f>
        <v/>
      </c>
      <c r="P26" s="60"/>
      <c r="Q26" s="48" t="str">
        <f>IF(OR(O26="", ISBLANK(O26), O26=0), "", O26 - P26)</f>
        <v/>
      </c>
      <c r="R26" s="60"/>
      <c r="S26" s="60"/>
      <c r="T26" s="48" t="str">
        <f>IF(OR(R26=""), "", R26 + S26)</f>
        <v/>
      </c>
      <c r="U26" s="42" t="str" cm="1">
        <f t="array" ref="U26">_xlfn.IFS(OR(Q26="", T26="", Q26=0, "", T26=0), "", AND(T26&lt;=Q26,D26&lt;=Q26), "Y", OR(T26&gt;Q26,D26&gt;Q26), "N")</f>
        <v/>
      </c>
      <c r="V26" s="62"/>
      <c r="W26" s="63"/>
    </row>
    <row r="27" spans="1:23" x14ac:dyDescent="0.25">
      <c r="A27" s="58"/>
      <c r="B27" s="59"/>
      <c r="C27" s="59"/>
      <c r="D27" s="60"/>
      <c r="E27" s="59"/>
      <c r="F27" s="59"/>
      <c r="G27" s="60"/>
      <c r="H27" s="43" t="str" cm="1">
        <f t="array" ref="H27">IF(OR(F27="", G27=""), "",
  _xlfn.LET(
    _xlpm.rowIndex, MATCH(F27, INDEX(IncomeTable,,1), 0),
    _xlpm.thresholds, INDEX(IncomeTable, _xlpm.rowIndex, 2):INDEX(IncomeTable, _xlpm.rowIndex, 8),
    _xlpm.labels, {20,30,40,50,60,70,80},
    _xlpm.income, G27,
    IF(_xlpm.income &lt; INDEX(_xlpm.thresholds,1), "Below 20%",
      IF(_xlpm.income &gt; INDEX(_xlpm.thresholds,7), "Above 80%",
        INDEX(_xlpm.labels, _xlfn.XLOOKUP(_xlpm.income, _xlpm.thresholds, _xlfn.SEQUENCE(1,7), , -1))
      )
    )
  )
)</f>
        <v/>
      </c>
      <c r="I27" s="42" t="str">
        <f t="shared" ref="I27:I89" si="2">IF(AND(ISNUMBER(C27), ISNUMBER(H27)), IF(C27=H27, "Y", "N"), "")</f>
        <v/>
      </c>
      <c r="J27" s="61"/>
      <c r="K27" s="61"/>
      <c r="L27" s="61"/>
      <c r="M27" s="61"/>
      <c r="N27" s="47" t="str">
        <f t="shared" si="0"/>
        <v/>
      </c>
      <c r="O27" s="48" t="str">
        <f>IF(OR(C27="", B27=""), "",
  INDEX(RentTable, MATCH(B27, {0,1,2,3,4}, 0), MATCH(C27, {20,30,40,50,60,70,80}, 1))
)</f>
        <v/>
      </c>
      <c r="P27" s="60"/>
      <c r="Q27" s="48" t="str">
        <f t="shared" ref="Q27:Q89" si="3">IF(OR(O27="", ISBLANK(O27), O27=0), "", O27 - P27)</f>
        <v/>
      </c>
      <c r="R27" s="60"/>
      <c r="S27" s="60"/>
      <c r="T27" s="48" t="str">
        <f t="shared" si="1"/>
        <v/>
      </c>
      <c r="U27" s="42" t="str" cm="1">
        <f t="array" ref="U27">_xlfn.IFS(OR(Q27="", T27="", Q27=0, "", T27=0), "", AND(T27&lt;=Q27,D27&lt;=Q27), "Y", OR(T27&gt;Q27,D27&gt;Q27), "N")</f>
        <v/>
      </c>
      <c r="V27" s="62"/>
      <c r="W27" s="63"/>
    </row>
    <row r="28" spans="1:23" x14ac:dyDescent="0.25">
      <c r="A28" s="58"/>
      <c r="B28" s="59"/>
      <c r="C28" s="59"/>
      <c r="D28" s="60"/>
      <c r="E28" s="59"/>
      <c r="F28" s="59"/>
      <c r="G28" s="60"/>
      <c r="H28" s="43" t="str" cm="1">
        <f t="array" ref="H28">IF(OR(F28="", G28=""), "",
  _xlfn.LET(
    _xlpm.rowIndex, MATCH(F28, INDEX(IncomeTable,,1), 0),
    _xlpm.thresholds, INDEX(IncomeTable, _xlpm.rowIndex, 2):INDEX(IncomeTable, _xlpm.rowIndex, 8),
    _xlpm.labels, {20,30,40,50,60,70,80},
    _xlpm.income, G28,
    IF(_xlpm.income &lt; INDEX(_xlpm.thresholds,1), "Below 20%",
      IF(_xlpm.income &gt; INDEX(_xlpm.thresholds,7), "Above 80%",
        INDEX(_xlpm.labels, _xlfn.XLOOKUP(_xlpm.income, _xlpm.thresholds, _xlfn.SEQUENCE(1,7), , -1))
      )
    )
  )
)</f>
        <v/>
      </c>
      <c r="I28" s="42" t="str">
        <f t="shared" si="2"/>
        <v/>
      </c>
      <c r="J28" s="61"/>
      <c r="K28" s="61"/>
      <c r="L28" s="61"/>
      <c r="M28" s="61"/>
      <c r="N28" s="47" t="str">
        <f t="shared" si="0"/>
        <v/>
      </c>
      <c r="O28" s="48" t="str">
        <f>IF(OR(C28="", B28=""), "",
  INDEX(RentTable, MATCH(B28, {0,1,2,3,4}, 0), MATCH(C28, {20,30,40,50,60,70,80}, 1))
)</f>
        <v/>
      </c>
      <c r="P28" s="60"/>
      <c r="Q28" s="48" t="str">
        <f t="shared" si="3"/>
        <v/>
      </c>
      <c r="R28" s="60"/>
      <c r="S28" s="60"/>
      <c r="T28" s="48" t="str">
        <f t="shared" si="1"/>
        <v/>
      </c>
      <c r="U28" s="42" t="str" cm="1">
        <f t="array" ref="U28">_xlfn.IFS(OR(Q28="", T28="", Q28=0, "", T28=0), "", AND(T28&lt;=Q28,D28&lt;=Q28), "Y", OR(T28&gt;Q28,D28&gt;Q28), "N")</f>
        <v/>
      </c>
      <c r="V28" s="62"/>
      <c r="W28" s="63"/>
    </row>
    <row r="29" spans="1:23" x14ac:dyDescent="0.25">
      <c r="A29" s="58"/>
      <c r="B29" s="59"/>
      <c r="C29" s="59"/>
      <c r="D29" s="60"/>
      <c r="E29" s="59"/>
      <c r="F29" s="59"/>
      <c r="G29" s="60"/>
      <c r="H29" s="43" t="str" cm="1">
        <f t="array" ref="H29">IF(OR(F29="", G29=""), "",
  _xlfn.LET(
    _xlpm.rowIndex, MATCH(F29, INDEX(IncomeTable,,1), 0),
    _xlpm.thresholds, INDEX(IncomeTable, _xlpm.rowIndex, 2):INDEX(IncomeTable, _xlpm.rowIndex, 8),
    _xlpm.labels, {20,30,40,50,60,70,80},
    _xlpm.income, G29,
    IF(_xlpm.income &lt; INDEX(_xlpm.thresholds,1), "Below 20%",
      IF(_xlpm.income &gt; INDEX(_xlpm.thresholds,7), "Above 80%",
        INDEX(_xlpm.labels, _xlfn.XLOOKUP(_xlpm.income, _xlpm.thresholds, _xlfn.SEQUENCE(1,7), , -1))
      )
    )
  )
)</f>
        <v/>
      </c>
      <c r="I29" s="42" t="str">
        <f t="shared" si="2"/>
        <v/>
      </c>
      <c r="J29" s="61"/>
      <c r="K29" s="61"/>
      <c r="L29" s="61"/>
      <c r="M29" s="61"/>
      <c r="N29" s="47" t="str">
        <f t="shared" si="0"/>
        <v/>
      </c>
      <c r="O29" s="48" t="str">
        <f>IF(OR(C29="", B29=""), "",
  INDEX(RentTable, MATCH(B29, {0,1,2,3,4}, 0), MATCH(C29, {20,30,40,50,60,70,80}, 1))
)</f>
        <v/>
      </c>
      <c r="P29" s="60"/>
      <c r="Q29" s="48" t="str">
        <f t="shared" si="3"/>
        <v/>
      </c>
      <c r="R29" s="60"/>
      <c r="S29" s="60"/>
      <c r="T29" s="48" t="str">
        <f t="shared" si="1"/>
        <v/>
      </c>
      <c r="U29" s="42" t="str" cm="1">
        <f t="array" ref="U29">_xlfn.IFS(OR(Q29="", T29="", Q29=0, "", T29=0), "", AND(T29&lt;=Q29,D29&lt;=Q29), "Y", OR(T29&gt;Q29,D29&gt;Q29), "N")</f>
        <v/>
      </c>
      <c r="V29" s="62"/>
      <c r="W29" s="63"/>
    </row>
    <row r="30" spans="1:23" x14ac:dyDescent="0.25">
      <c r="A30" s="58"/>
      <c r="B30" s="59"/>
      <c r="C30" s="59"/>
      <c r="D30" s="60"/>
      <c r="E30" s="59"/>
      <c r="F30" s="59"/>
      <c r="G30" s="60"/>
      <c r="H30" s="43" t="str" cm="1">
        <f t="array" ref="H30">IF(OR(F30="", G30=""), "",
  _xlfn.LET(
    _xlpm.rowIndex, MATCH(F30, INDEX(IncomeTable,,1), 0),
    _xlpm.thresholds, INDEX(IncomeTable, _xlpm.rowIndex, 2):INDEX(IncomeTable, _xlpm.rowIndex, 8),
    _xlpm.labels, {20,30,40,50,60,70,80},
    _xlpm.income, G30,
    IF(_xlpm.income &lt; INDEX(_xlpm.thresholds,1), "Below 20%",
      IF(_xlpm.income &gt; INDEX(_xlpm.thresholds,7), "Above 80%",
        INDEX(_xlpm.labels, _xlfn.XLOOKUP(_xlpm.income, _xlpm.thresholds, _xlfn.SEQUENCE(1,7), , -1))
      )
    )
  )
)</f>
        <v/>
      </c>
      <c r="I30" s="42" t="str">
        <f t="shared" si="2"/>
        <v/>
      </c>
      <c r="J30" s="61"/>
      <c r="K30" s="61"/>
      <c r="L30" s="61"/>
      <c r="M30" s="61"/>
      <c r="N30" s="47" t="str">
        <f t="shared" si="0"/>
        <v/>
      </c>
      <c r="O30" s="48" t="str">
        <f>IF(OR(C30="", B30=""), "",
  INDEX(RentTable, MATCH(B30, {0,1,2,3,4}, 0), MATCH(C30, {20,30,40,50,60,70,80}, 1))
)</f>
        <v/>
      </c>
      <c r="P30" s="60"/>
      <c r="Q30" s="48" t="str">
        <f t="shared" si="3"/>
        <v/>
      </c>
      <c r="R30" s="60"/>
      <c r="S30" s="60"/>
      <c r="T30" s="48" t="str">
        <f t="shared" si="1"/>
        <v/>
      </c>
      <c r="U30" s="42" t="str" cm="1">
        <f t="array" ref="U30">_xlfn.IFS(OR(Q30="", T30="", Q30=0, "", T30=0), "", AND(T30&lt;=Q30,D30&lt;=Q30), "Y", OR(T30&gt;Q30,D30&gt;Q30), "N")</f>
        <v/>
      </c>
      <c r="V30" s="62"/>
      <c r="W30" s="63"/>
    </row>
    <row r="31" spans="1:23" x14ac:dyDescent="0.25">
      <c r="A31" s="58"/>
      <c r="B31" s="59"/>
      <c r="C31" s="59"/>
      <c r="D31" s="60"/>
      <c r="E31" s="59"/>
      <c r="F31" s="59"/>
      <c r="G31" s="60"/>
      <c r="H31" s="42" t="str" cm="1">
        <f t="array" ref="H31">IF(OR(F31="", G31=""), "",
  _xlfn.LET(
    _xlpm.rowIndex, MATCH(F31, INDEX(IncomeTable,,1), 0),
    _xlpm.thresholds, INDEX(IncomeTable, _xlpm.rowIndex, 2):INDEX(IncomeTable, _xlpm.rowIndex, 8),
    _xlpm.labels, {20,30,40,50,60,70,80},
    _xlpm.income, G31,
    IF(_xlpm.income &lt; INDEX(_xlpm.thresholds,1), "Below 20%",
      IF(_xlpm.income &gt; INDEX(_xlpm.thresholds,7), "Above 80%",
        INDEX(_xlpm.labels, _xlfn.XLOOKUP(_xlpm.income, _xlpm.thresholds, _xlfn.SEQUENCE(1,7), , -1))
      )
    )
  )
)</f>
        <v/>
      </c>
      <c r="I31" s="42" t="str">
        <f t="shared" si="2"/>
        <v/>
      </c>
      <c r="J31" s="61"/>
      <c r="K31" s="61"/>
      <c r="L31" s="61"/>
      <c r="M31" s="61"/>
      <c r="N31" s="47" t="str">
        <f t="shared" si="0"/>
        <v/>
      </c>
      <c r="O31" s="48" t="str">
        <f>IF(OR(C31="", B31=""), "",
  INDEX(RentTable, MATCH(B31, {0,1,2,3,4}, 0), MATCH(C31, {20,30,40,50,60,70,80}, 1))
)</f>
        <v/>
      </c>
      <c r="P31" s="60"/>
      <c r="Q31" s="48" t="str">
        <f t="shared" si="3"/>
        <v/>
      </c>
      <c r="R31" s="60"/>
      <c r="S31" s="60"/>
      <c r="T31" s="48" t="str">
        <f t="shared" si="1"/>
        <v/>
      </c>
      <c r="U31" s="42" t="str" cm="1">
        <f t="array" ref="U31">_xlfn.IFS(OR(Q31="", T31="", Q31=0, "", T31=0), "", AND(T31&lt;=Q31,D31&lt;=Q31), "Y", OR(T31&gt;Q31,D31&gt;Q31), "N")</f>
        <v/>
      </c>
      <c r="V31" s="62"/>
      <c r="W31" s="63"/>
    </row>
    <row r="32" spans="1:23" x14ac:dyDescent="0.25">
      <c r="A32" s="58"/>
      <c r="B32" s="59"/>
      <c r="C32" s="59"/>
      <c r="D32" s="60"/>
      <c r="E32" s="59"/>
      <c r="F32" s="59"/>
      <c r="G32" s="60"/>
      <c r="H32" s="43" t="str" cm="1">
        <f t="array" ref="H32">IF(OR(F32="", G32=""), "",
  _xlfn.LET(
    _xlpm.rowIndex, MATCH(F32, INDEX(IncomeTable,,1), 0),
    _xlpm.thresholds, INDEX(IncomeTable, _xlpm.rowIndex, 2):INDEX(IncomeTable, _xlpm.rowIndex, 8),
    _xlpm.labels, {20,30,40,50,60,70,80},
    _xlpm.income, G32,
    IF(_xlpm.income &lt; INDEX(_xlpm.thresholds,1), "Below 20%",
      IF(_xlpm.income &gt; INDEX(_xlpm.thresholds,7), "Above 80%",
        INDEX(_xlpm.labels, _xlfn.XLOOKUP(_xlpm.income, _xlpm.thresholds, _xlfn.SEQUENCE(1,7), , -1))
      )
    )
  )
)</f>
        <v/>
      </c>
      <c r="I32" s="42" t="str">
        <f t="shared" si="2"/>
        <v/>
      </c>
      <c r="J32" s="61"/>
      <c r="K32" s="61"/>
      <c r="L32" s="61"/>
      <c r="M32" s="61"/>
      <c r="N32" s="47" t="str">
        <f t="shared" si="0"/>
        <v/>
      </c>
      <c r="O32" s="48" t="str">
        <f>IF(OR(C32="", B32=""), "",
  INDEX(RentTable, MATCH(B32, {0,1,2,3,4}, 0), MATCH(C32, {20,30,40,50,60,70,80}, 1))
)</f>
        <v/>
      </c>
      <c r="P32" s="60"/>
      <c r="Q32" s="48" t="str">
        <f t="shared" si="3"/>
        <v/>
      </c>
      <c r="R32" s="60"/>
      <c r="S32" s="60"/>
      <c r="T32" s="48" t="str">
        <f t="shared" si="1"/>
        <v/>
      </c>
      <c r="U32" s="42" t="str" cm="1">
        <f t="array" ref="U32">_xlfn.IFS(OR(Q32="", T32="", Q32=0, "", T32=0), "", AND(T32&lt;=Q32,D32&lt;=Q32), "Y", OR(T32&gt;Q32,D32&gt;Q32), "N")</f>
        <v/>
      </c>
      <c r="V32" s="62"/>
      <c r="W32" s="63"/>
    </row>
    <row r="33" spans="1:23" x14ac:dyDescent="0.25">
      <c r="A33" s="58"/>
      <c r="B33" s="59"/>
      <c r="C33" s="59"/>
      <c r="D33" s="60"/>
      <c r="E33" s="59"/>
      <c r="F33" s="59"/>
      <c r="G33" s="60"/>
      <c r="H33" s="43" t="str" cm="1">
        <f t="array" ref="H33">IF(OR(F33="", G33=""), "",
  _xlfn.LET(
    _xlpm.rowIndex, MATCH(F33, INDEX(IncomeTable,,1), 0),
    _xlpm.thresholds, INDEX(IncomeTable, _xlpm.rowIndex, 2):INDEX(IncomeTable, _xlpm.rowIndex, 8),
    _xlpm.labels, {20,30,40,50,60,70,80},
    _xlpm.income, G33,
    IF(_xlpm.income &lt; INDEX(_xlpm.thresholds,1), "Below 20%",
      IF(_xlpm.income &gt; INDEX(_xlpm.thresholds,7), "Above 80%",
        INDEX(_xlpm.labels, _xlfn.XLOOKUP(_xlpm.income, _xlpm.thresholds, _xlfn.SEQUENCE(1,7), , -1))
      )
    )
  )
)</f>
        <v/>
      </c>
      <c r="I33" s="42" t="str">
        <f t="shared" si="2"/>
        <v/>
      </c>
      <c r="J33" s="61"/>
      <c r="K33" s="61"/>
      <c r="L33" s="61"/>
      <c r="M33" s="61"/>
      <c r="N33" s="47" t="str">
        <f t="shared" si="0"/>
        <v/>
      </c>
      <c r="O33" s="48" t="str">
        <f>IF(OR(C33="", B33=""), "",
  INDEX(RentTable, MATCH(B33, {0,1,2,3,4}, 0), MATCH(C33, {20,30,40,50,60,70,80}, 1))
)</f>
        <v/>
      </c>
      <c r="P33" s="60"/>
      <c r="Q33" s="48" t="str">
        <f t="shared" si="3"/>
        <v/>
      </c>
      <c r="R33" s="60"/>
      <c r="S33" s="60"/>
      <c r="T33" s="48" t="str">
        <f t="shared" si="1"/>
        <v/>
      </c>
      <c r="U33" s="42" t="str" cm="1">
        <f t="array" ref="U33">_xlfn.IFS(OR(Q33="", T33="", Q33=0, "", T33=0), "", AND(T33&lt;=Q33,D33&lt;=Q33), "Y", OR(T33&gt;Q33,D33&gt;Q33), "N")</f>
        <v/>
      </c>
      <c r="V33" s="62"/>
      <c r="W33" s="63"/>
    </row>
    <row r="34" spans="1:23" x14ac:dyDescent="0.25">
      <c r="A34" s="58"/>
      <c r="B34" s="59"/>
      <c r="C34" s="59"/>
      <c r="D34" s="60"/>
      <c r="E34" s="59"/>
      <c r="F34" s="59"/>
      <c r="G34" s="60"/>
      <c r="H34" s="43" t="str" cm="1">
        <f t="array" ref="H34">IF(OR(F34="", G34=""), "",
  _xlfn.LET(
    _xlpm.rowIndex, MATCH(F34, INDEX(IncomeTable,,1), 0),
    _xlpm.thresholds, INDEX(IncomeTable, _xlpm.rowIndex, 2):INDEX(IncomeTable, _xlpm.rowIndex, 8),
    _xlpm.labels, {20,30,40,50,60,70,80},
    _xlpm.income, G34,
    IF(_xlpm.income &lt; INDEX(_xlpm.thresholds,1), "Below 20%",
      IF(_xlpm.income &gt; INDEX(_xlpm.thresholds,7), "Above 80%",
        INDEX(_xlpm.labels, _xlfn.XLOOKUP(_xlpm.income, _xlpm.thresholds, _xlfn.SEQUENCE(1,7), , -1))
      )
    )
  )
)</f>
        <v/>
      </c>
      <c r="I34" s="42" t="str">
        <f t="shared" si="2"/>
        <v/>
      </c>
      <c r="J34" s="61"/>
      <c r="K34" s="61"/>
      <c r="L34" s="61"/>
      <c r="M34" s="61"/>
      <c r="N34" s="47" t="str">
        <f t="shared" si="0"/>
        <v/>
      </c>
      <c r="O34" s="48" t="str">
        <f>IF(OR(C34="", B34=""), "",
  INDEX(RentTable, MATCH(B34, {0,1,2,3,4}, 0), MATCH(C34, {20,30,40,50,60,70,80}, 1))
)</f>
        <v/>
      </c>
      <c r="P34" s="60"/>
      <c r="Q34" s="48" t="str">
        <f t="shared" si="3"/>
        <v/>
      </c>
      <c r="R34" s="60"/>
      <c r="S34" s="60"/>
      <c r="T34" s="48" t="str">
        <f t="shared" si="1"/>
        <v/>
      </c>
      <c r="U34" s="42" t="str" cm="1">
        <f t="array" ref="U34">_xlfn.IFS(OR(Q34="", T34="", Q34=0, "", T34=0), "", AND(T34&lt;=Q34,D34&lt;=Q34), "Y", OR(T34&gt;Q34,D34&gt;Q34), "N")</f>
        <v/>
      </c>
      <c r="V34" s="62"/>
      <c r="W34" s="63"/>
    </row>
    <row r="35" spans="1:23" x14ac:dyDescent="0.25">
      <c r="A35" s="58"/>
      <c r="B35" s="59"/>
      <c r="C35" s="59"/>
      <c r="D35" s="60"/>
      <c r="E35" s="59"/>
      <c r="F35" s="59"/>
      <c r="G35" s="60"/>
      <c r="H35" s="43" t="str" cm="1">
        <f t="array" ref="H35">IF(OR(F35="", G35=""), "",
  _xlfn.LET(
    _xlpm.rowIndex, MATCH(F35, INDEX(IncomeTable,,1), 0),
    _xlpm.thresholds, INDEX(IncomeTable, _xlpm.rowIndex, 2):INDEX(IncomeTable, _xlpm.rowIndex, 8),
    _xlpm.labels, {20,30,40,50,60,70,80},
    _xlpm.income, G35,
    IF(_xlpm.income &lt; INDEX(_xlpm.thresholds,1), "Below 20%",
      IF(_xlpm.income &gt; INDEX(_xlpm.thresholds,7), "Above 80%",
        INDEX(_xlpm.labels, _xlfn.XLOOKUP(_xlpm.income, _xlpm.thresholds, _xlfn.SEQUENCE(1,7), , -1))
      )
    )
  )
)</f>
        <v/>
      </c>
      <c r="I35" s="42" t="str">
        <f t="shared" si="2"/>
        <v/>
      </c>
      <c r="J35" s="61"/>
      <c r="K35" s="61"/>
      <c r="L35" s="61"/>
      <c r="M35" s="61"/>
      <c r="N35" s="47" t="str">
        <f t="shared" si="0"/>
        <v/>
      </c>
      <c r="O35" s="48" t="str">
        <f>IF(OR(C35="", B35=""), "",
  INDEX(RentTable, MATCH(B35, {0,1,2,3,4}, 0), MATCH(C35, {20,30,40,50,60,70,80}, 1))
)</f>
        <v/>
      </c>
      <c r="P35" s="60"/>
      <c r="Q35" s="48" t="str">
        <f t="shared" si="3"/>
        <v/>
      </c>
      <c r="R35" s="60"/>
      <c r="S35" s="60"/>
      <c r="T35" s="48" t="str">
        <f t="shared" si="1"/>
        <v/>
      </c>
      <c r="U35" s="42" t="str" cm="1">
        <f t="array" ref="U35">_xlfn.IFS(OR(Q35="", T35="", Q35=0, "", T35=0), "", AND(T35&lt;=Q35,D35&lt;=Q35), "Y", OR(T35&gt;Q35,D35&gt;Q35), "N")</f>
        <v/>
      </c>
      <c r="V35" s="62"/>
      <c r="W35" s="63"/>
    </row>
    <row r="36" spans="1:23" x14ac:dyDescent="0.25">
      <c r="A36" s="58"/>
      <c r="B36" s="59"/>
      <c r="C36" s="59"/>
      <c r="D36" s="60"/>
      <c r="E36" s="59"/>
      <c r="F36" s="59"/>
      <c r="G36" s="60"/>
      <c r="H36" s="43" t="str" cm="1">
        <f t="array" ref="H36">IF(OR(F36="", G36=""), "",
  _xlfn.LET(
    _xlpm.rowIndex, MATCH(F36, INDEX(IncomeTable,,1), 0),
    _xlpm.thresholds, INDEX(IncomeTable, _xlpm.rowIndex, 2):INDEX(IncomeTable, _xlpm.rowIndex, 8),
    _xlpm.labels, {20,30,40,50,60,70,80},
    _xlpm.income, G36,
    IF(_xlpm.income &lt; INDEX(_xlpm.thresholds,1), "Below 20%",
      IF(_xlpm.income &gt; INDEX(_xlpm.thresholds,7), "Above 80%",
        INDEX(_xlpm.labels, _xlfn.XLOOKUP(_xlpm.income, _xlpm.thresholds, _xlfn.SEQUENCE(1,7), , -1))
      )
    )
  )
)</f>
        <v/>
      </c>
      <c r="I36" s="42" t="str">
        <f t="shared" si="2"/>
        <v/>
      </c>
      <c r="J36" s="61"/>
      <c r="K36" s="61"/>
      <c r="L36" s="61"/>
      <c r="M36" s="61"/>
      <c r="N36" s="47" t="str">
        <f t="shared" si="0"/>
        <v/>
      </c>
      <c r="O36" s="48" t="str">
        <f>IF(OR(C36="", B36=""), "",
  INDEX(RentTable, MATCH(B36, {0,1,2,3,4}, 0), MATCH(C36, {20,30,40,50,60,70,80}, 1))
)</f>
        <v/>
      </c>
      <c r="P36" s="60"/>
      <c r="Q36" s="48" t="str">
        <f t="shared" si="3"/>
        <v/>
      </c>
      <c r="R36" s="60"/>
      <c r="S36" s="60"/>
      <c r="T36" s="48" t="str">
        <f t="shared" si="1"/>
        <v/>
      </c>
      <c r="U36" s="42" t="str" cm="1">
        <f t="array" ref="U36">_xlfn.IFS(OR(Q36="", T36="", Q36=0, "", T36=0), "", AND(T36&lt;=Q36,D36&lt;=Q36), "Y", OR(T36&gt;Q36,D36&gt;Q36), "N")</f>
        <v/>
      </c>
      <c r="V36" s="62"/>
      <c r="W36" s="63"/>
    </row>
    <row r="37" spans="1:23" x14ac:dyDescent="0.25">
      <c r="A37" s="58"/>
      <c r="B37" s="59"/>
      <c r="C37" s="59"/>
      <c r="D37" s="60"/>
      <c r="E37" s="59"/>
      <c r="F37" s="59"/>
      <c r="G37" s="60"/>
      <c r="H37" s="43" t="str" cm="1">
        <f t="array" ref="H37">IF(OR(F37="", G37=""), "",
  _xlfn.LET(
    _xlpm.rowIndex, MATCH(F37, INDEX(IncomeTable,,1), 0),
    _xlpm.thresholds, INDEX(IncomeTable, _xlpm.rowIndex, 2):INDEX(IncomeTable, _xlpm.rowIndex, 8),
    _xlpm.labels, {20,30,40,50,60,70,80},
    _xlpm.income, G37,
    IF(_xlpm.income &lt; INDEX(_xlpm.thresholds,1), "Below 20%",
      IF(_xlpm.income &gt; INDEX(_xlpm.thresholds,7), "Above 80%",
        INDEX(_xlpm.labels, _xlfn.XLOOKUP(_xlpm.income, _xlpm.thresholds, _xlfn.SEQUENCE(1,7), , -1))
      )
    )
  )
)</f>
        <v/>
      </c>
      <c r="I37" s="42" t="str">
        <f t="shared" si="2"/>
        <v/>
      </c>
      <c r="J37" s="61"/>
      <c r="K37" s="61"/>
      <c r="L37" s="61"/>
      <c r="M37" s="61"/>
      <c r="N37" s="47" t="str">
        <f t="shared" si="0"/>
        <v/>
      </c>
      <c r="O37" s="48" t="str">
        <f>IF(OR(C37="", B37=""), "",
  INDEX(RentTable, MATCH(B37, {0,1,2,3,4}, 0), MATCH(C37, {20,30,40,50,60,70,80}, 1))
)</f>
        <v/>
      </c>
      <c r="P37" s="60"/>
      <c r="Q37" s="48" t="str">
        <f t="shared" si="3"/>
        <v/>
      </c>
      <c r="R37" s="60"/>
      <c r="S37" s="60"/>
      <c r="T37" s="48" t="str">
        <f t="shared" si="1"/>
        <v/>
      </c>
      <c r="U37" s="42" t="str" cm="1">
        <f t="array" ref="U37">_xlfn.IFS(OR(Q37="", T37="", Q37=0, "", T37=0), "", AND(T37&lt;=Q37,D37&lt;=Q37), "Y", OR(T37&gt;Q37,D37&gt;Q37), "N")</f>
        <v/>
      </c>
      <c r="V37" s="62"/>
      <c r="W37" s="63"/>
    </row>
    <row r="38" spans="1:23" x14ac:dyDescent="0.25">
      <c r="A38" s="58"/>
      <c r="B38" s="59"/>
      <c r="C38" s="59"/>
      <c r="D38" s="60"/>
      <c r="E38" s="59"/>
      <c r="F38" s="59"/>
      <c r="G38" s="60"/>
      <c r="H38" s="43" t="str" cm="1">
        <f t="array" ref="H38">IF(OR(F38="", G38=""), "",
  _xlfn.LET(
    _xlpm.rowIndex, MATCH(F38, INDEX(IncomeTable,,1), 0),
    _xlpm.thresholds, INDEX(IncomeTable, _xlpm.rowIndex, 2):INDEX(IncomeTable, _xlpm.rowIndex, 8),
    _xlpm.labels, {20,30,40,50,60,70,80},
    _xlpm.income, G38,
    IF(_xlpm.income &lt; INDEX(_xlpm.thresholds,1), "Below 20%",
      IF(_xlpm.income &gt; INDEX(_xlpm.thresholds,7), "Above 80%",
        INDEX(_xlpm.labels, _xlfn.XLOOKUP(_xlpm.income, _xlpm.thresholds, _xlfn.SEQUENCE(1,7), , -1))
      )
    )
  )
)</f>
        <v/>
      </c>
      <c r="I38" s="42" t="str">
        <f t="shared" si="2"/>
        <v/>
      </c>
      <c r="J38" s="61"/>
      <c r="K38" s="61"/>
      <c r="L38" s="61"/>
      <c r="M38" s="61"/>
      <c r="N38" s="47" t="str">
        <f t="shared" si="0"/>
        <v/>
      </c>
      <c r="O38" s="48" t="str">
        <f>IF(OR(C38="", B38=""), "",
  INDEX(RentTable, MATCH(B38, {0,1,2,3,4}, 0), MATCH(C38, {20,30,40,50,60,70,80}, 1))
)</f>
        <v/>
      </c>
      <c r="P38" s="60"/>
      <c r="Q38" s="48" t="str">
        <f t="shared" si="3"/>
        <v/>
      </c>
      <c r="R38" s="60"/>
      <c r="S38" s="60"/>
      <c r="T38" s="48" t="str">
        <f t="shared" si="1"/>
        <v/>
      </c>
      <c r="U38" s="42" t="str" cm="1">
        <f t="array" ref="U38">_xlfn.IFS(OR(Q38="", T38="", Q38=0, "", T38=0), "", AND(T38&lt;=Q38,D38&lt;=Q38), "Y", OR(T38&gt;Q38,D38&gt;Q38), "N")</f>
        <v/>
      </c>
      <c r="V38" s="62"/>
      <c r="W38" s="63"/>
    </row>
    <row r="39" spans="1:23" x14ac:dyDescent="0.25">
      <c r="A39" s="58"/>
      <c r="B39" s="59"/>
      <c r="C39" s="59"/>
      <c r="D39" s="60"/>
      <c r="E39" s="59"/>
      <c r="F39" s="59"/>
      <c r="G39" s="60"/>
      <c r="H39" s="43" t="str" cm="1">
        <f t="array" ref="H39">IF(OR(F39="", G39=""), "",
  _xlfn.LET(
    _xlpm.rowIndex, MATCH(F39, INDEX(IncomeTable,,1), 0),
    _xlpm.thresholds, INDEX(IncomeTable, _xlpm.rowIndex, 2):INDEX(IncomeTable, _xlpm.rowIndex, 8),
    _xlpm.labels, {20,30,40,50,60,70,80},
    _xlpm.income, G39,
    IF(_xlpm.income &lt; INDEX(_xlpm.thresholds,1), "Below 20%",
      IF(_xlpm.income &gt; INDEX(_xlpm.thresholds,7), "Above 80%",
        INDEX(_xlpm.labels, _xlfn.XLOOKUP(_xlpm.income, _xlpm.thresholds, _xlfn.SEQUENCE(1,7), , -1))
      )
    )
  )
)</f>
        <v/>
      </c>
      <c r="I39" s="42" t="str">
        <f t="shared" si="2"/>
        <v/>
      </c>
      <c r="J39" s="61"/>
      <c r="K39" s="61"/>
      <c r="L39" s="61"/>
      <c r="M39" s="61"/>
      <c r="N39" s="47" t="str">
        <f t="shared" si="0"/>
        <v/>
      </c>
      <c r="O39" s="48" t="str">
        <f>IF(OR(C39="", B39=""), "",
  INDEX(RentTable, MATCH(B39, {0,1,2,3,4}, 0), MATCH(C39, {20,30,40,50,60,70,80}, 1))
)</f>
        <v/>
      </c>
      <c r="P39" s="60"/>
      <c r="Q39" s="48" t="str">
        <f t="shared" si="3"/>
        <v/>
      </c>
      <c r="R39" s="60"/>
      <c r="S39" s="60"/>
      <c r="T39" s="48" t="str">
        <f t="shared" si="1"/>
        <v/>
      </c>
      <c r="U39" s="42" t="str" cm="1">
        <f t="array" ref="U39">_xlfn.IFS(OR(Q39="", T39="", Q39=0, "", T39=0), "", AND(T39&lt;=Q39,D39&lt;=Q39), "Y", OR(T39&gt;Q39,D39&gt;Q39), "N")</f>
        <v/>
      </c>
      <c r="V39" s="62"/>
      <c r="W39" s="63"/>
    </row>
    <row r="40" spans="1:23" x14ac:dyDescent="0.25">
      <c r="A40" s="58"/>
      <c r="B40" s="59"/>
      <c r="C40" s="59"/>
      <c r="D40" s="60"/>
      <c r="E40" s="59"/>
      <c r="F40" s="59"/>
      <c r="G40" s="60"/>
      <c r="H40" s="43" t="str" cm="1">
        <f t="array" ref="H40">IF(OR(F40="", G40=""), "",
  _xlfn.LET(
    _xlpm.rowIndex, MATCH(F40, INDEX(IncomeTable,,1), 0),
    _xlpm.thresholds, INDEX(IncomeTable, _xlpm.rowIndex, 2):INDEX(IncomeTable, _xlpm.rowIndex, 8),
    _xlpm.labels, {20,30,40,50,60,70,80},
    _xlpm.income, G40,
    IF(_xlpm.income &lt; INDEX(_xlpm.thresholds,1), "Below 20%",
      IF(_xlpm.income &gt; INDEX(_xlpm.thresholds,7), "Above 80%",
        INDEX(_xlpm.labels, _xlfn.XLOOKUP(_xlpm.income, _xlpm.thresholds, _xlfn.SEQUENCE(1,7), , -1))
      )
    )
  )
)</f>
        <v/>
      </c>
      <c r="I40" s="42" t="str">
        <f t="shared" si="2"/>
        <v/>
      </c>
      <c r="J40" s="61"/>
      <c r="K40" s="61"/>
      <c r="L40" s="61"/>
      <c r="M40" s="61"/>
      <c r="N40" s="47" t="str">
        <f t="shared" si="0"/>
        <v/>
      </c>
      <c r="O40" s="48" t="str">
        <f>IF(OR(C40="", B40=""), "",
  INDEX(RentTable, MATCH(B40, {0,1,2,3,4}, 0), MATCH(C40, {20,30,40,50,60,70,80}, 1))
)</f>
        <v/>
      </c>
      <c r="P40" s="60"/>
      <c r="Q40" s="48" t="str">
        <f t="shared" si="3"/>
        <v/>
      </c>
      <c r="R40" s="60"/>
      <c r="S40" s="60"/>
      <c r="T40" s="48" t="str">
        <f t="shared" si="1"/>
        <v/>
      </c>
      <c r="U40" s="42" t="str" cm="1">
        <f t="array" ref="U40">_xlfn.IFS(OR(Q40="", T40="", Q40=0, "", T40=0), "", AND(T40&lt;=Q40,D40&lt;=Q40), "Y", OR(T40&gt;Q40,D40&gt;Q40), "N")</f>
        <v/>
      </c>
      <c r="V40" s="62"/>
      <c r="W40" s="63"/>
    </row>
    <row r="41" spans="1:23" x14ac:dyDescent="0.25">
      <c r="A41" s="58"/>
      <c r="B41" s="59"/>
      <c r="C41" s="59"/>
      <c r="D41" s="60"/>
      <c r="E41" s="59"/>
      <c r="F41" s="59"/>
      <c r="G41" s="60"/>
      <c r="H41" s="43" t="str" cm="1">
        <f t="array" ref="H41">IF(OR(F41="", G41=""), "",
  _xlfn.LET(
    _xlpm.rowIndex, MATCH(F41, INDEX(IncomeTable,,1), 0),
    _xlpm.thresholds, INDEX(IncomeTable, _xlpm.rowIndex, 2):INDEX(IncomeTable, _xlpm.rowIndex, 8),
    _xlpm.labels, {20,30,40,50,60,70,80},
    _xlpm.income, G41,
    IF(_xlpm.income &lt; INDEX(_xlpm.thresholds,1), "Below 20%",
      IF(_xlpm.income &gt; INDEX(_xlpm.thresholds,7), "Above 80%",
        INDEX(_xlpm.labels, _xlfn.XLOOKUP(_xlpm.income, _xlpm.thresholds, _xlfn.SEQUENCE(1,7), , -1))
      )
    )
  )
)</f>
        <v/>
      </c>
      <c r="I41" s="42" t="str">
        <f t="shared" si="2"/>
        <v/>
      </c>
      <c r="J41" s="61"/>
      <c r="K41" s="61"/>
      <c r="L41" s="61"/>
      <c r="M41" s="61"/>
      <c r="N41" s="47" t="str">
        <f t="shared" si="0"/>
        <v/>
      </c>
      <c r="O41" s="48" t="str">
        <f>IF(OR(C41="", B41=""), "",
  INDEX(RentTable, MATCH(B41, {0,1,2,3,4}, 0), MATCH(C41, {20,30,40,50,60,70,80}, 1))
)</f>
        <v/>
      </c>
      <c r="P41" s="60"/>
      <c r="Q41" s="48" t="str">
        <f t="shared" si="3"/>
        <v/>
      </c>
      <c r="R41" s="60"/>
      <c r="S41" s="60"/>
      <c r="T41" s="48" t="str">
        <f t="shared" si="1"/>
        <v/>
      </c>
      <c r="U41" s="42" t="str" cm="1">
        <f t="array" ref="U41">_xlfn.IFS(OR(Q41="", T41="", Q41=0, "", T41=0), "", AND(T41&lt;=Q41,D41&lt;=Q41), "Y", OR(T41&gt;Q41,D41&gt;Q41), "N")</f>
        <v/>
      </c>
      <c r="V41" s="62"/>
      <c r="W41" s="63"/>
    </row>
    <row r="42" spans="1:23" x14ac:dyDescent="0.25">
      <c r="A42" s="58"/>
      <c r="B42" s="59"/>
      <c r="C42" s="59"/>
      <c r="D42" s="60"/>
      <c r="E42" s="59"/>
      <c r="F42" s="59"/>
      <c r="G42" s="60"/>
      <c r="H42" s="43" t="str" cm="1">
        <f t="array" ref="H42">IF(OR(F42="", G42=""), "",
  _xlfn.LET(
    _xlpm.rowIndex, MATCH(F42, INDEX(IncomeTable,,1), 0),
    _xlpm.thresholds, INDEX(IncomeTable, _xlpm.rowIndex, 2):INDEX(IncomeTable, _xlpm.rowIndex, 8),
    _xlpm.labels, {20,30,40,50,60,70,80},
    _xlpm.income, G42,
    IF(_xlpm.income &lt; INDEX(_xlpm.thresholds,1), "Below 20%",
      IF(_xlpm.income &gt; INDEX(_xlpm.thresholds,7), "Above 80%",
        INDEX(_xlpm.labels, _xlfn.XLOOKUP(_xlpm.income, _xlpm.thresholds, _xlfn.SEQUENCE(1,7), , -1))
      )
    )
  )
)</f>
        <v/>
      </c>
      <c r="I42" s="42" t="str">
        <f t="shared" si="2"/>
        <v/>
      </c>
      <c r="J42" s="61"/>
      <c r="K42" s="61"/>
      <c r="L42" s="61"/>
      <c r="M42" s="61"/>
      <c r="N42" s="47" t="str">
        <f t="shared" si="0"/>
        <v/>
      </c>
      <c r="O42" s="48" t="str">
        <f>IF(OR(C42="", B42=""), "",
  INDEX(RentTable, MATCH(B42, {0,1,2,3,4}, 0), MATCH(C42, {20,30,40,50,60,70,80}, 1))
)</f>
        <v/>
      </c>
      <c r="P42" s="60"/>
      <c r="Q42" s="48" t="str">
        <f t="shared" si="3"/>
        <v/>
      </c>
      <c r="R42" s="60"/>
      <c r="S42" s="60"/>
      <c r="T42" s="48" t="str">
        <f t="shared" si="1"/>
        <v/>
      </c>
      <c r="U42" s="42" t="str" cm="1">
        <f t="array" ref="U42">_xlfn.IFS(OR(Q42="", T42="", Q42=0, "", T42=0), "", AND(T42&lt;=Q42,D42&lt;=Q42), "Y", OR(T42&gt;Q42,D42&gt;Q42), "N")</f>
        <v/>
      </c>
      <c r="V42" s="62"/>
      <c r="W42" s="63"/>
    </row>
    <row r="43" spans="1:23" x14ac:dyDescent="0.25">
      <c r="A43" s="58"/>
      <c r="B43" s="59"/>
      <c r="C43" s="59"/>
      <c r="D43" s="60"/>
      <c r="E43" s="59"/>
      <c r="F43" s="59"/>
      <c r="G43" s="60"/>
      <c r="H43" s="43" t="str" cm="1">
        <f t="array" ref="H43">IF(OR(F43="", G43=""), "",
  _xlfn.LET(
    _xlpm.rowIndex, MATCH(F43, INDEX(IncomeTable,,1), 0),
    _xlpm.thresholds, INDEX(IncomeTable, _xlpm.rowIndex, 2):INDEX(IncomeTable, _xlpm.rowIndex, 8),
    _xlpm.labels, {20,30,40,50,60,70,80},
    _xlpm.income, G43,
    IF(_xlpm.income &lt; INDEX(_xlpm.thresholds,1), "Below 20%",
      IF(_xlpm.income &gt; INDEX(_xlpm.thresholds,7), "Above 80%",
        INDEX(_xlpm.labels, _xlfn.XLOOKUP(_xlpm.income, _xlpm.thresholds, _xlfn.SEQUENCE(1,7), , -1))
      )
    )
  )
)</f>
        <v/>
      </c>
      <c r="I43" s="42" t="str">
        <f t="shared" si="2"/>
        <v/>
      </c>
      <c r="J43" s="61"/>
      <c r="K43" s="61"/>
      <c r="L43" s="61"/>
      <c r="M43" s="61"/>
      <c r="N43" s="47" t="str">
        <f t="shared" si="0"/>
        <v/>
      </c>
      <c r="O43" s="48" t="str">
        <f>IF(OR(C43="", B43=""), "",
  INDEX(RentTable, MATCH(B43, {0,1,2,3,4}, 0), MATCH(C43, {20,30,40,50,60,70,80}, 1))
)</f>
        <v/>
      </c>
      <c r="P43" s="60"/>
      <c r="Q43" s="48" t="str">
        <f t="shared" si="3"/>
        <v/>
      </c>
      <c r="R43" s="60"/>
      <c r="S43" s="60"/>
      <c r="T43" s="48" t="str">
        <f t="shared" si="1"/>
        <v/>
      </c>
      <c r="U43" s="42" t="str" cm="1">
        <f t="array" ref="U43">_xlfn.IFS(OR(Q43="", T43="", Q43=0, "", T43=0), "", AND(T43&lt;=Q43,D43&lt;=Q43), "Y", OR(T43&gt;Q43,D43&gt;Q43), "N")</f>
        <v/>
      </c>
      <c r="V43" s="62"/>
      <c r="W43" s="63"/>
    </row>
    <row r="44" spans="1:23" x14ac:dyDescent="0.25">
      <c r="A44" s="58"/>
      <c r="B44" s="59"/>
      <c r="C44" s="59"/>
      <c r="D44" s="60"/>
      <c r="E44" s="59"/>
      <c r="F44" s="59"/>
      <c r="G44" s="60"/>
      <c r="H44" s="43" t="str" cm="1">
        <f t="array" ref="H44">IF(OR(F44="", G44=""), "",
  _xlfn.LET(
    _xlpm.rowIndex, MATCH(F44, INDEX(IncomeTable,,1), 0),
    _xlpm.thresholds, INDEX(IncomeTable, _xlpm.rowIndex, 2):INDEX(IncomeTable, _xlpm.rowIndex, 8),
    _xlpm.labels, {20,30,40,50,60,70,80},
    _xlpm.income, G44,
    IF(_xlpm.income &lt; INDEX(_xlpm.thresholds,1), "Below 20%",
      IF(_xlpm.income &gt; INDEX(_xlpm.thresholds,7), "Above 80%",
        INDEX(_xlpm.labels, _xlfn.XLOOKUP(_xlpm.income, _xlpm.thresholds, _xlfn.SEQUENCE(1,7), , -1))
      )
    )
  )
)</f>
        <v/>
      </c>
      <c r="I44" s="42" t="str">
        <f t="shared" si="2"/>
        <v/>
      </c>
      <c r="J44" s="61"/>
      <c r="K44" s="61"/>
      <c r="L44" s="61"/>
      <c r="M44" s="61"/>
      <c r="N44" s="47" t="str">
        <f t="shared" si="0"/>
        <v/>
      </c>
      <c r="O44" s="48" t="str">
        <f>IF(OR(C44="", B44=""), "",
  INDEX(RentTable, MATCH(B44, {0,1,2,3,4}, 0), MATCH(C44, {20,30,40,50,60,70,80}, 1))
)</f>
        <v/>
      </c>
      <c r="P44" s="60"/>
      <c r="Q44" s="48" t="str">
        <f t="shared" si="3"/>
        <v/>
      </c>
      <c r="R44" s="60"/>
      <c r="S44" s="60"/>
      <c r="T44" s="48" t="str">
        <f t="shared" si="1"/>
        <v/>
      </c>
      <c r="U44" s="42" t="str" cm="1">
        <f t="array" ref="U44">_xlfn.IFS(OR(Q44="", T44="", Q44=0, "", T44=0), "", AND(T44&lt;=Q44,D44&lt;=Q44), "Y", OR(T44&gt;Q44,D44&gt;Q44), "N")</f>
        <v/>
      </c>
      <c r="V44" s="62"/>
      <c r="W44" s="63"/>
    </row>
    <row r="45" spans="1:23" x14ac:dyDescent="0.25">
      <c r="A45" s="58"/>
      <c r="B45" s="59"/>
      <c r="C45" s="59"/>
      <c r="D45" s="60"/>
      <c r="E45" s="59"/>
      <c r="F45" s="59"/>
      <c r="G45" s="60"/>
      <c r="H45" s="43" t="str" cm="1">
        <f t="array" ref="H45">IF(OR(F45="", G45=""), "",
  _xlfn.LET(
    _xlpm.rowIndex, MATCH(F45, INDEX(IncomeTable,,1), 0),
    _xlpm.thresholds, INDEX(IncomeTable, _xlpm.rowIndex, 2):INDEX(IncomeTable, _xlpm.rowIndex, 8),
    _xlpm.labels, {20,30,40,50,60,70,80},
    _xlpm.income, G45,
    IF(_xlpm.income &lt; INDEX(_xlpm.thresholds,1), "Below 20%",
      IF(_xlpm.income &gt; INDEX(_xlpm.thresholds,7), "Above 80%",
        INDEX(_xlpm.labels, _xlfn.XLOOKUP(_xlpm.income, _xlpm.thresholds, _xlfn.SEQUENCE(1,7), , -1))
      )
    )
  )
)</f>
        <v/>
      </c>
      <c r="I45" s="42" t="str">
        <f t="shared" si="2"/>
        <v/>
      </c>
      <c r="J45" s="61"/>
      <c r="K45" s="61"/>
      <c r="L45" s="61"/>
      <c r="M45" s="61"/>
      <c r="N45" s="47" t="str">
        <f t="shared" si="0"/>
        <v/>
      </c>
      <c r="O45" s="48" t="str">
        <f>IF(OR(C45="", B45=""), "",
  INDEX(RentTable, MATCH(B45, {0,1,2,3,4}, 0), MATCH(C45, {20,30,40,50,60,70,80}, 1))
)</f>
        <v/>
      </c>
      <c r="P45" s="60"/>
      <c r="Q45" s="48" t="str">
        <f t="shared" si="3"/>
        <v/>
      </c>
      <c r="R45" s="60"/>
      <c r="S45" s="60"/>
      <c r="T45" s="48" t="str">
        <f t="shared" si="1"/>
        <v/>
      </c>
      <c r="U45" s="42" t="str" cm="1">
        <f t="array" ref="U45">_xlfn.IFS(OR(Q45="", T45="", Q45=0, "", T45=0), "", AND(T45&lt;=Q45,D45&lt;=Q45), "Y", OR(T45&gt;Q45,D45&gt;Q45), "N")</f>
        <v/>
      </c>
      <c r="V45" s="62"/>
      <c r="W45" s="63"/>
    </row>
    <row r="46" spans="1:23" x14ac:dyDescent="0.25">
      <c r="A46" s="58"/>
      <c r="B46" s="59"/>
      <c r="C46" s="59"/>
      <c r="D46" s="60"/>
      <c r="E46" s="59"/>
      <c r="F46" s="59"/>
      <c r="G46" s="60"/>
      <c r="H46" s="43" t="str" cm="1">
        <f t="array" ref="H46">IF(OR(F46="", G46=""), "",
  _xlfn.LET(
    _xlpm.rowIndex, MATCH(F46, INDEX(IncomeTable,,1), 0),
    _xlpm.thresholds, INDEX(IncomeTable, _xlpm.rowIndex, 2):INDEX(IncomeTable, _xlpm.rowIndex, 8),
    _xlpm.labels, {20,30,40,50,60,70,80},
    _xlpm.income, G46,
    IF(_xlpm.income &lt; INDEX(_xlpm.thresholds,1), "Below 20%",
      IF(_xlpm.income &gt; INDEX(_xlpm.thresholds,7), "Above 80%",
        INDEX(_xlpm.labels, _xlfn.XLOOKUP(_xlpm.income, _xlpm.thresholds, _xlfn.SEQUENCE(1,7), , -1))
      )
    )
  )
)</f>
        <v/>
      </c>
      <c r="I46" s="42" t="str">
        <f t="shared" si="2"/>
        <v/>
      </c>
      <c r="J46" s="61"/>
      <c r="K46" s="61"/>
      <c r="L46" s="61"/>
      <c r="M46" s="61"/>
      <c r="N46" s="47" t="str">
        <f t="shared" si="0"/>
        <v/>
      </c>
      <c r="O46" s="48" t="str">
        <f>IF(OR(C46="", B46=""), "",
  INDEX(RentTable, MATCH(B46, {0,1,2,3,4}, 0), MATCH(C46, {20,30,40,50,60,70,80}, 1))
)</f>
        <v/>
      </c>
      <c r="P46" s="60"/>
      <c r="Q46" s="48" t="str">
        <f t="shared" si="3"/>
        <v/>
      </c>
      <c r="R46" s="60"/>
      <c r="S46" s="60"/>
      <c r="T46" s="48" t="str">
        <f t="shared" si="1"/>
        <v/>
      </c>
      <c r="U46" s="42" t="str" cm="1">
        <f t="array" ref="U46">_xlfn.IFS(OR(Q46="", T46="", Q46=0, "", T46=0), "", AND(T46&lt;=Q46,D46&lt;=Q46), "Y", OR(T46&gt;Q46,D46&gt;Q46), "N")</f>
        <v/>
      </c>
      <c r="V46" s="62"/>
      <c r="W46" s="63"/>
    </row>
    <row r="47" spans="1:23" x14ac:dyDescent="0.25">
      <c r="A47" s="58"/>
      <c r="B47" s="59"/>
      <c r="C47" s="59"/>
      <c r="D47" s="60"/>
      <c r="E47" s="59"/>
      <c r="F47" s="59"/>
      <c r="G47" s="60"/>
      <c r="H47" s="43" t="str" cm="1">
        <f t="array" ref="H47">IF(OR(F47="", G47=""), "",
  _xlfn.LET(
    _xlpm.rowIndex, MATCH(F47, INDEX(IncomeTable,,1), 0),
    _xlpm.thresholds, INDEX(IncomeTable, _xlpm.rowIndex, 2):INDEX(IncomeTable, _xlpm.rowIndex, 8),
    _xlpm.labels, {20,30,40,50,60,70,80},
    _xlpm.income, G47,
    IF(_xlpm.income &lt; INDEX(_xlpm.thresholds,1), "Below 20%",
      IF(_xlpm.income &gt; INDEX(_xlpm.thresholds,7), "Above 80%",
        INDEX(_xlpm.labels, _xlfn.XLOOKUP(_xlpm.income, _xlpm.thresholds, _xlfn.SEQUENCE(1,7), , -1))
      )
    )
  )
)</f>
        <v/>
      </c>
      <c r="I47" s="42" t="str">
        <f t="shared" si="2"/>
        <v/>
      </c>
      <c r="J47" s="61"/>
      <c r="K47" s="61"/>
      <c r="L47" s="61"/>
      <c r="M47" s="61"/>
      <c r="N47" s="47" t="str">
        <f t="shared" si="0"/>
        <v/>
      </c>
      <c r="O47" s="48" t="str">
        <f>IF(OR(C47="", B47=""), "",
  INDEX(RentTable, MATCH(B47, {0,1,2,3,4}, 0), MATCH(C47, {20,30,40,50,60,70,80}, 1))
)</f>
        <v/>
      </c>
      <c r="P47" s="60"/>
      <c r="Q47" s="48" t="str">
        <f t="shared" si="3"/>
        <v/>
      </c>
      <c r="R47" s="60"/>
      <c r="S47" s="60"/>
      <c r="T47" s="48" t="str">
        <f t="shared" si="1"/>
        <v/>
      </c>
      <c r="U47" s="42" t="str" cm="1">
        <f t="array" ref="U47">_xlfn.IFS(OR(Q47="", T47="", Q47=0, "", T47=0), "", AND(T47&lt;=Q47,D47&lt;=Q47), "Y", OR(T47&gt;Q47,D47&gt;Q47), "N")</f>
        <v/>
      </c>
      <c r="V47" s="62"/>
      <c r="W47" s="63"/>
    </row>
    <row r="48" spans="1:23" x14ac:dyDescent="0.25">
      <c r="A48" s="58"/>
      <c r="B48" s="59"/>
      <c r="C48" s="59"/>
      <c r="D48" s="60"/>
      <c r="E48" s="59"/>
      <c r="F48" s="59"/>
      <c r="G48" s="60"/>
      <c r="H48" s="43" t="str" cm="1">
        <f t="array" ref="H48">IF(OR(F48="", G48=""), "",
  _xlfn.LET(
    _xlpm.rowIndex, MATCH(F48, INDEX(IncomeTable,,1), 0),
    _xlpm.thresholds, INDEX(IncomeTable, _xlpm.rowIndex, 2):INDEX(IncomeTable, _xlpm.rowIndex, 8),
    _xlpm.labels, {20,30,40,50,60,70,80},
    _xlpm.income, G48,
    IF(_xlpm.income &lt; INDEX(_xlpm.thresholds,1), "Below 20%",
      IF(_xlpm.income &gt; INDEX(_xlpm.thresholds,7), "Above 80%",
        INDEX(_xlpm.labels, _xlfn.XLOOKUP(_xlpm.income, _xlpm.thresholds, _xlfn.SEQUENCE(1,7), , -1))
      )
    )
  )
)</f>
        <v/>
      </c>
      <c r="I48" s="42" t="str">
        <f t="shared" si="2"/>
        <v/>
      </c>
      <c r="J48" s="61"/>
      <c r="K48" s="61"/>
      <c r="L48" s="61"/>
      <c r="M48" s="61"/>
      <c r="N48" s="47" t="str">
        <f t="shared" si="0"/>
        <v/>
      </c>
      <c r="O48" s="48" t="str">
        <f>IF(OR(C48="", B48=""), "",
  INDEX(RentTable, MATCH(B48, {0,1,2,3,4}, 0), MATCH(C48, {20,30,40,50,60,70,80}, 1))
)</f>
        <v/>
      </c>
      <c r="P48" s="60"/>
      <c r="Q48" s="48" t="str">
        <f t="shared" si="3"/>
        <v/>
      </c>
      <c r="R48" s="60"/>
      <c r="S48" s="60"/>
      <c r="T48" s="48" t="str">
        <f t="shared" si="1"/>
        <v/>
      </c>
      <c r="U48" s="42" t="str" cm="1">
        <f t="array" ref="U48">_xlfn.IFS(OR(Q48="", T48="", Q48=0, "", T48=0), "", AND(T48&lt;=Q48,D48&lt;=Q48), "Y", OR(T48&gt;Q48,D48&gt;Q48), "N")</f>
        <v/>
      </c>
      <c r="V48" s="62"/>
      <c r="W48" s="63"/>
    </row>
    <row r="49" spans="1:23" x14ac:dyDescent="0.25">
      <c r="A49" s="58"/>
      <c r="B49" s="59"/>
      <c r="C49" s="59"/>
      <c r="D49" s="60"/>
      <c r="E49" s="59"/>
      <c r="F49" s="59"/>
      <c r="G49" s="60"/>
      <c r="H49" s="43" t="str" cm="1">
        <f t="array" ref="H49">IF(OR(F49="", G49=""), "",
  _xlfn.LET(
    _xlpm.rowIndex, MATCH(F49, INDEX(IncomeTable,,1), 0),
    _xlpm.thresholds, INDEX(IncomeTable, _xlpm.rowIndex, 2):INDEX(IncomeTable, _xlpm.rowIndex, 8),
    _xlpm.labels, {20,30,40,50,60,70,80},
    _xlpm.income, G49,
    IF(_xlpm.income &lt; INDEX(_xlpm.thresholds,1), "Below 20%",
      IF(_xlpm.income &gt; INDEX(_xlpm.thresholds,7), "Above 80%",
        INDEX(_xlpm.labels, _xlfn.XLOOKUP(_xlpm.income, _xlpm.thresholds, _xlfn.SEQUENCE(1,7), , -1))
      )
    )
  )
)</f>
        <v/>
      </c>
      <c r="I49" s="42" t="str">
        <f t="shared" si="2"/>
        <v/>
      </c>
      <c r="J49" s="61"/>
      <c r="K49" s="61"/>
      <c r="L49" s="61"/>
      <c r="M49" s="61"/>
      <c r="N49" s="47" t="str">
        <f t="shared" si="0"/>
        <v/>
      </c>
      <c r="O49" s="48" t="str">
        <f>IF(OR(C49="", B49=""), "",
  INDEX(RentTable, MATCH(B49, {0,1,2,3,4}, 0), MATCH(C49, {20,30,40,50,60,70,80}, 1))
)</f>
        <v/>
      </c>
      <c r="P49" s="60"/>
      <c r="Q49" s="48" t="str">
        <f t="shared" si="3"/>
        <v/>
      </c>
      <c r="R49" s="60"/>
      <c r="S49" s="60"/>
      <c r="T49" s="48" t="str">
        <f t="shared" si="1"/>
        <v/>
      </c>
      <c r="U49" s="42" t="str" cm="1">
        <f t="array" ref="U49">_xlfn.IFS(OR(Q49="", T49="", Q49=0, "", T49=0), "", AND(T49&lt;=Q49,D49&lt;=Q49), "Y", OR(T49&gt;Q49,D49&gt;Q49), "N")</f>
        <v/>
      </c>
      <c r="V49" s="62"/>
      <c r="W49" s="63"/>
    </row>
    <row r="50" spans="1:23" x14ac:dyDescent="0.25">
      <c r="A50" s="58"/>
      <c r="B50" s="59"/>
      <c r="C50" s="59"/>
      <c r="D50" s="60"/>
      <c r="E50" s="59"/>
      <c r="F50" s="59"/>
      <c r="G50" s="60"/>
      <c r="H50" s="43" t="str" cm="1">
        <f t="array" ref="H50">IF(OR(F50="", G50=""), "",
  _xlfn.LET(
    _xlpm.rowIndex, MATCH(F50, INDEX(IncomeTable,,1), 0),
    _xlpm.thresholds, INDEX(IncomeTable, _xlpm.rowIndex, 2):INDEX(IncomeTable, _xlpm.rowIndex, 8),
    _xlpm.labels, {20,30,40,50,60,70,80},
    _xlpm.income, G50,
    IF(_xlpm.income &lt; INDEX(_xlpm.thresholds,1), "Below 20%",
      IF(_xlpm.income &gt; INDEX(_xlpm.thresholds,7), "Above 80%",
        INDEX(_xlpm.labels, _xlfn.XLOOKUP(_xlpm.income, _xlpm.thresholds, _xlfn.SEQUENCE(1,7), , -1))
      )
    )
  )
)</f>
        <v/>
      </c>
      <c r="I50" s="42" t="str">
        <f t="shared" si="2"/>
        <v/>
      </c>
      <c r="J50" s="61"/>
      <c r="K50" s="61"/>
      <c r="L50" s="61"/>
      <c r="M50" s="61"/>
      <c r="N50" s="47" t="str">
        <f t="shared" si="0"/>
        <v/>
      </c>
      <c r="O50" s="48" t="str">
        <f>IF(OR(C50="", B50=""), "",
  INDEX(RentTable, MATCH(B50, {0,1,2,3,4}, 0), MATCH(C50, {20,30,40,50,60,70,80}, 1))
)</f>
        <v/>
      </c>
      <c r="P50" s="60"/>
      <c r="Q50" s="48" t="str">
        <f t="shared" si="3"/>
        <v/>
      </c>
      <c r="R50" s="60"/>
      <c r="S50" s="60"/>
      <c r="T50" s="48" t="str">
        <f t="shared" si="1"/>
        <v/>
      </c>
      <c r="U50" s="42" t="str" cm="1">
        <f t="array" ref="U50">_xlfn.IFS(OR(Q50="", T50="", Q50=0, "", T50=0), "", AND(T50&lt;=Q50,D50&lt;=Q50), "Y", OR(T50&gt;Q50,D50&gt;Q50), "N")</f>
        <v/>
      </c>
      <c r="V50" s="62"/>
      <c r="W50" s="63"/>
    </row>
    <row r="51" spans="1:23" x14ac:dyDescent="0.25">
      <c r="A51" s="58"/>
      <c r="B51" s="59"/>
      <c r="C51" s="59"/>
      <c r="D51" s="60"/>
      <c r="E51" s="59"/>
      <c r="F51" s="59"/>
      <c r="G51" s="60"/>
      <c r="H51" s="43" t="str" cm="1">
        <f t="array" ref="H51">IF(OR(F51="", G51=""), "",
  _xlfn.LET(
    _xlpm.rowIndex, MATCH(F51, INDEX(IncomeTable,,1), 0),
    _xlpm.thresholds, INDEX(IncomeTable, _xlpm.rowIndex, 2):INDEX(IncomeTable, _xlpm.rowIndex, 8),
    _xlpm.labels, {20,30,40,50,60,70,80},
    _xlpm.income, G51,
    IF(_xlpm.income &lt; INDEX(_xlpm.thresholds,1), "Below 20%",
      IF(_xlpm.income &gt; INDEX(_xlpm.thresholds,7), "Above 80%",
        INDEX(_xlpm.labels, _xlfn.XLOOKUP(_xlpm.income, _xlpm.thresholds, _xlfn.SEQUENCE(1,7), , -1))
      )
    )
  )
)</f>
        <v/>
      </c>
      <c r="I51" s="42" t="str">
        <f t="shared" si="2"/>
        <v/>
      </c>
      <c r="J51" s="61"/>
      <c r="K51" s="61"/>
      <c r="L51" s="61"/>
      <c r="M51" s="61"/>
      <c r="N51" s="47" t="str">
        <f t="shared" si="0"/>
        <v/>
      </c>
      <c r="O51" s="48" t="str">
        <f>IF(OR(C51="", B51=""), "",
  INDEX(RentTable, MATCH(B51, {0,1,2,3,4}, 0), MATCH(C51, {20,30,40,50,60,70,80}, 1))
)</f>
        <v/>
      </c>
      <c r="P51" s="60"/>
      <c r="Q51" s="48" t="str">
        <f t="shared" si="3"/>
        <v/>
      </c>
      <c r="R51" s="60"/>
      <c r="S51" s="60"/>
      <c r="T51" s="48" t="str">
        <f t="shared" si="1"/>
        <v/>
      </c>
      <c r="U51" s="42" t="str" cm="1">
        <f t="array" ref="U51">_xlfn.IFS(OR(Q51="", T51="", Q51=0, "", T51=0), "", AND(T51&lt;=Q51,D51&lt;=Q51), "Y", OR(T51&gt;Q51,D51&gt;Q51), "N")</f>
        <v/>
      </c>
      <c r="V51" s="62"/>
      <c r="W51" s="63"/>
    </row>
    <row r="52" spans="1:23" x14ac:dyDescent="0.25">
      <c r="A52" s="58"/>
      <c r="B52" s="59"/>
      <c r="C52" s="59"/>
      <c r="D52" s="60"/>
      <c r="E52" s="59"/>
      <c r="F52" s="59"/>
      <c r="G52" s="60"/>
      <c r="H52" s="43" t="str" cm="1">
        <f t="array" ref="H52">IF(OR(F52="", G52=""), "",
  _xlfn.LET(
    _xlpm.rowIndex, MATCH(F52, INDEX(IncomeTable,,1), 0),
    _xlpm.thresholds, INDEX(IncomeTable, _xlpm.rowIndex, 2):INDEX(IncomeTable, _xlpm.rowIndex, 8),
    _xlpm.labels, {20,30,40,50,60,70,80},
    _xlpm.income, G52,
    IF(_xlpm.income &lt; INDEX(_xlpm.thresholds,1), "Below 20%",
      IF(_xlpm.income &gt; INDEX(_xlpm.thresholds,7), "Above 80%",
        INDEX(_xlpm.labels, _xlfn.XLOOKUP(_xlpm.income, _xlpm.thresholds, _xlfn.SEQUENCE(1,7), , -1))
      )
    )
  )
)</f>
        <v/>
      </c>
      <c r="I52" s="42" t="str">
        <f t="shared" si="2"/>
        <v/>
      </c>
      <c r="J52" s="61"/>
      <c r="K52" s="61"/>
      <c r="L52" s="61"/>
      <c r="M52" s="61"/>
      <c r="N52" s="47" t="str">
        <f t="shared" si="0"/>
        <v/>
      </c>
      <c r="O52" s="48" t="str">
        <f>IF(OR(C52="", B52=""), "",
  INDEX(RentTable, MATCH(B52, {0,1,2,3,4}, 0), MATCH(C52, {20,30,40,50,60,70,80}, 1))
)</f>
        <v/>
      </c>
      <c r="P52" s="60"/>
      <c r="Q52" s="48" t="str">
        <f t="shared" si="3"/>
        <v/>
      </c>
      <c r="R52" s="60"/>
      <c r="S52" s="60"/>
      <c r="T52" s="48" t="str">
        <f t="shared" si="1"/>
        <v/>
      </c>
      <c r="U52" s="42" t="str" cm="1">
        <f t="array" ref="U52">_xlfn.IFS(OR(Q52="", T52="", Q52=0, "", T52=0), "", AND(T52&lt;=Q52,D52&lt;=Q52), "Y", OR(T52&gt;Q52,D52&gt;Q52), "N")</f>
        <v/>
      </c>
      <c r="V52" s="62"/>
      <c r="W52" s="63"/>
    </row>
    <row r="53" spans="1:23" x14ac:dyDescent="0.25">
      <c r="A53" s="58"/>
      <c r="B53" s="59"/>
      <c r="C53" s="59"/>
      <c r="D53" s="60"/>
      <c r="E53" s="59"/>
      <c r="F53" s="59"/>
      <c r="G53" s="60"/>
      <c r="H53" s="43" t="str" cm="1">
        <f t="array" ref="H53">IF(OR(F53="", G53=""), "",
  _xlfn.LET(
    _xlpm.rowIndex, MATCH(F53, INDEX(IncomeTable,,1), 0),
    _xlpm.thresholds, INDEX(IncomeTable, _xlpm.rowIndex, 2):INDEX(IncomeTable, _xlpm.rowIndex, 8),
    _xlpm.labels, {20,30,40,50,60,70,80},
    _xlpm.income, G53,
    IF(_xlpm.income &lt; INDEX(_xlpm.thresholds,1), "Below 20%",
      IF(_xlpm.income &gt; INDEX(_xlpm.thresholds,7), "Above 80%",
        INDEX(_xlpm.labels, _xlfn.XLOOKUP(_xlpm.income, _xlpm.thresholds, _xlfn.SEQUENCE(1,7), , -1))
      )
    )
  )
)</f>
        <v/>
      </c>
      <c r="I53" s="42" t="str">
        <f t="shared" si="2"/>
        <v/>
      </c>
      <c r="J53" s="61"/>
      <c r="K53" s="61"/>
      <c r="L53" s="61"/>
      <c r="M53" s="61"/>
      <c r="N53" s="47" t="str">
        <f t="shared" si="0"/>
        <v/>
      </c>
      <c r="O53" s="48" t="str">
        <f>IF(OR(C53="", B53=""), "",
  INDEX(RentTable, MATCH(B53, {0,1,2,3,4}, 0), MATCH(C53, {20,30,40,50,60,70,80}, 1))
)</f>
        <v/>
      </c>
      <c r="P53" s="60"/>
      <c r="Q53" s="48" t="str">
        <f t="shared" si="3"/>
        <v/>
      </c>
      <c r="R53" s="60"/>
      <c r="S53" s="60"/>
      <c r="T53" s="48" t="str">
        <f t="shared" si="1"/>
        <v/>
      </c>
      <c r="U53" s="42" t="str" cm="1">
        <f t="array" ref="U53">_xlfn.IFS(OR(Q53="", T53="", Q53=0, "", T53=0), "", AND(T53&lt;=Q53,D53&lt;=Q53), "Y", OR(T53&gt;Q53,D53&gt;Q53), "N")</f>
        <v/>
      </c>
      <c r="V53" s="62"/>
      <c r="W53" s="63"/>
    </row>
    <row r="54" spans="1:23" x14ac:dyDescent="0.25">
      <c r="A54" s="58"/>
      <c r="B54" s="59"/>
      <c r="C54" s="59"/>
      <c r="D54" s="60"/>
      <c r="E54" s="59"/>
      <c r="F54" s="59"/>
      <c r="G54" s="60"/>
      <c r="H54" s="43" t="str" cm="1">
        <f t="array" ref="H54">IF(OR(F54="", G54=""), "",
  _xlfn.LET(
    _xlpm.rowIndex, MATCH(F54, INDEX(IncomeTable,,1), 0),
    _xlpm.thresholds, INDEX(IncomeTable, _xlpm.rowIndex, 2):INDEX(IncomeTable, _xlpm.rowIndex, 8),
    _xlpm.labels, {20,30,40,50,60,70,80},
    _xlpm.income, G54,
    IF(_xlpm.income &lt; INDEX(_xlpm.thresholds,1), "Below 20%",
      IF(_xlpm.income &gt; INDEX(_xlpm.thresholds,7), "Above 80%",
        INDEX(_xlpm.labels, _xlfn.XLOOKUP(_xlpm.income, _xlpm.thresholds, _xlfn.SEQUENCE(1,7), , -1))
      )
    )
  )
)</f>
        <v/>
      </c>
      <c r="I54" s="42" t="str">
        <f t="shared" si="2"/>
        <v/>
      </c>
      <c r="J54" s="61"/>
      <c r="K54" s="61"/>
      <c r="L54" s="61"/>
      <c r="M54" s="61"/>
      <c r="N54" s="47" t="str">
        <f t="shared" si="0"/>
        <v/>
      </c>
      <c r="O54" s="48" t="str">
        <f>IF(OR(C54="", B54=""), "",
  INDEX(RentTable, MATCH(B54, {0,1,2,3,4}, 0), MATCH(C54, {20,30,40,50,60,70,80}, 1))
)</f>
        <v/>
      </c>
      <c r="P54" s="60"/>
      <c r="Q54" s="48" t="str">
        <f t="shared" si="3"/>
        <v/>
      </c>
      <c r="R54" s="60"/>
      <c r="S54" s="60"/>
      <c r="T54" s="48" t="str">
        <f t="shared" si="1"/>
        <v/>
      </c>
      <c r="U54" s="42" t="str" cm="1">
        <f t="array" ref="U54">_xlfn.IFS(OR(Q54="", T54="", Q54=0, "", T54=0), "", AND(T54&lt;=Q54,D54&lt;=Q54), "Y", OR(T54&gt;Q54,D54&gt;Q54), "N")</f>
        <v/>
      </c>
      <c r="V54" s="62"/>
      <c r="W54" s="63"/>
    </row>
    <row r="55" spans="1:23" x14ac:dyDescent="0.25">
      <c r="A55" s="58"/>
      <c r="B55" s="59"/>
      <c r="C55" s="59"/>
      <c r="D55" s="60"/>
      <c r="E55" s="59"/>
      <c r="F55" s="59"/>
      <c r="G55" s="60"/>
      <c r="H55" s="43" t="str" cm="1">
        <f t="array" ref="H55">IF(OR(F55="", G55=""), "",
  _xlfn.LET(
    _xlpm.rowIndex, MATCH(F55, INDEX(IncomeTable,,1), 0),
    _xlpm.thresholds, INDEX(IncomeTable, _xlpm.rowIndex, 2):INDEX(IncomeTable, _xlpm.rowIndex, 8),
    _xlpm.labels, {20,30,40,50,60,70,80},
    _xlpm.income, G55,
    IF(_xlpm.income &lt; INDEX(_xlpm.thresholds,1), "Below 20%",
      IF(_xlpm.income &gt; INDEX(_xlpm.thresholds,7), "Above 80%",
        INDEX(_xlpm.labels, _xlfn.XLOOKUP(_xlpm.income, _xlpm.thresholds, _xlfn.SEQUENCE(1,7), , -1))
      )
    )
  )
)</f>
        <v/>
      </c>
      <c r="I55" s="42" t="str">
        <f t="shared" si="2"/>
        <v/>
      </c>
      <c r="J55" s="61"/>
      <c r="K55" s="61"/>
      <c r="L55" s="61"/>
      <c r="M55" s="61"/>
      <c r="N55" s="47" t="str">
        <f t="shared" si="0"/>
        <v/>
      </c>
      <c r="O55" s="48" t="str">
        <f>IF(OR(C55="", B55=""), "",
  INDEX(RentTable, MATCH(B55, {0,1,2,3,4}, 0), MATCH(C55, {20,30,40,50,60,70,80}, 1))
)</f>
        <v/>
      </c>
      <c r="P55" s="60"/>
      <c r="Q55" s="48" t="str">
        <f t="shared" si="3"/>
        <v/>
      </c>
      <c r="R55" s="60"/>
      <c r="S55" s="60"/>
      <c r="T55" s="48" t="str">
        <f t="shared" si="1"/>
        <v/>
      </c>
      <c r="U55" s="42" t="str" cm="1">
        <f t="array" ref="U55">_xlfn.IFS(OR(Q55="", T55="", Q55=0, "", T55=0), "", AND(T55&lt;=Q55,D55&lt;=Q55), "Y", OR(T55&gt;Q55,D55&gt;Q55), "N")</f>
        <v/>
      </c>
      <c r="V55" s="62"/>
      <c r="W55" s="63"/>
    </row>
    <row r="56" spans="1:23" x14ac:dyDescent="0.25">
      <c r="A56" s="58"/>
      <c r="B56" s="59"/>
      <c r="C56" s="59"/>
      <c r="D56" s="60"/>
      <c r="E56" s="59"/>
      <c r="F56" s="59"/>
      <c r="G56" s="60"/>
      <c r="H56" s="43" t="str" cm="1">
        <f t="array" ref="H56">IF(OR(F56="", G56=""), "",
  _xlfn.LET(
    _xlpm.rowIndex, MATCH(F56, INDEX(IncomeTable,,1), 0),
    _xlpm.thresholds, INDEX(IncomeTable, _xlpm.rowIndex, 2):INDEX(IncomeTable, _xlpm.rowIndex, 8),
    _xlpm.labels, {20,30,40,50,60,70,80},
    _xlpm.income, G56,
    IF(_xlpm.income &lt; INDEX(_xlpm.thresholds,1), "Below 20%",
      IF(_xlpm.income &gt; INDEX(_xlpm.thresholds,7), "Above 80%",
        INDEX(_xlpm.labels, _xlfn.XLOOKUP(_xlpm.income, _xlpm.thresholds, _xlfn.SEQUENCE(1,7), , -1))
      )
    )
  )
)</f>
        <v/>
      </c>
      <c r="I56" s="42" t="str">
        <f t="shared" si="2"/>
        <v/>
      </c>
      <c r="J56" s="61"/>
      <c r="K56" s="61"/>
      <c r="L56" s="61"/>
      <c r="M56" s="61"/>
      <c r="N56" s="47" t="str">
        <f t="shared" si="0"/>
        <v/>
      </c>
      <c r="O56" s="48" t="str">
        <f>IF(OR(C56="", B56=""), "",
  INDEX(RentTable, MATCH(B56, {0,1,2,3,4}, 0), MATCH(C56, {20,30,40,50,60,70,80}, 1))
)</f>
        <v/>
      </c>
      <c r="P56" s="60"/>
      <c r="Q56" s="48" t="str">
        <f t="shared" si="3"/>
        <v/>
      </c>
      <c r="R56" s="60"/>
      <c r="S56" s="60"/>
      <c r="T56" s="48" t="str">
        <f t="shared" si="1"/>
        <v/>
      </c>
      <c r="U56" s="42" t="str" cm="1">
        <f t="array" ref="U56">_xlfn.IFS(OR(Q56="", T56="", Q56=0, "", T56=0), "", AND(T56&lt;=Q56,D56&lt;=Q56), "Y", OR(T56&gt;Q56,D56&gt;Q56), "N")</f>
        <v/>
      </c>
      <c r="V56" s="62"/>
      <c r="W56" s="63"/>
    </row>
    <row r="57" spans="1:23" x14ac:dyDescent="0.25">
      <c r="A57" s="58"/>
      <c r="B57" s="59"/>
      <c r="C57" s="59"/>
      <c r="D57" s="60"/>
      <c r="E57" s="59"/>
      <c r="F57" s="59"/>
      <c r="G57" s="60"/>
      <c r="H57" s="43" t="str" cm="1">
        <f t="array" ref="H57">IF(OR(F57="", G57=""), "",
  _xlfn.LET(
    _xlpm.rowIndex, MATCH(F57, INDEX(IncomeTable,,1), 0),
    _xlpm.thresholds, INDEX(IncomeTable, _xlpm.rowIndex, 2):INDEX(IncomeTable, _xlpm.rowIndex, 8),
    _xlpm.labels, {20,30,40,50,60,70,80},
    _xlpm.income, G57,
    IF(_xlpm.income &lt; INDEX(_xlpm.thresholds,1), "Below 20%",
      IF(_xlpm.income &gt; INDEX(_xlpm.thresholds,7), "Above 80%",
        INDEX(_xlpm.labels, _xlfn.XLOOKUP(_xlpm.income, _xlpm.thresholds, _xlfn.SEQUENCE(1,7), , -1))
      )
    )
  )
)</f>
        <v/>
      </c>
      <c r="I57" s="42" t="str">
        <f t="shared" si="2"/>
        <v/>
      </c>
      <c r="J57" s="61"/>
      <c r="K57" s="61"/>
      <c r="L57" s="61"/>
      <c r="M57" s="61"/>
      <c r="N57" s="47" t="str">
        <f t="shared" si="0"/>
        <v/>
      </c>
      <c r="O57" s="48" t="str">
        <f>IF(OR(C57="", B57=""), "",
  INDEX(RentTable, MATCH(B57, {0,1,2,3,4}, 0), MATCH(C57, {20,30,40,50,60,70,80}, 1))
)</f>
        <v/>
      </c>
      <c r="P57" s="60"/>
      <c r="Q57" s="48" t="str">
        <f t="shared" si="3"/>
        <v/>
      </c>
      <c r="R57" s="60"/>
      <c r="S57" s="60"/>
      <c r="T57" s="48" t="str">
        <f t="shared" si="1"/>
        <v/>
      </c>
      <c r="U57" s="42" t="str" cm="1">
        <f t="array" ref="U57">_xlfn.IFS(OR(Q57="", T57="", Q57=0, "", T57=0), "", AND(T57&lt;=Q57,D57&lt;=Q57), "Y", OR(T57&gt;Q57,D57&gt;Q57), "N")</f>
        <v/>
      </c>
      <c r="V57" s="62"/>
      <c r="W57" s="63"/>
    </row>
    <row r="58" spans="1:23" x14ac:dyDescent="0.25">
      <c r="A58" s="58"/>
      <c r="B58" s="59"/>
      <c r="C58" s="59"/>
      <c r="D58" s="60"/>
      <c r="E58" s="59"/>
      <c r="F58" s="59"/>
      <c r="G58" s="60"/>
      <c r="H58" s="43" t="str" cm="1">
        <f t="array" ref="H58">IF(OR(F58="", G58=""), "",
  _xlfn.LET(
    _xlpm.rowIndex, MATCH(F58, INDEX(IncomeTable,,1), 0),
    _xlpm.thresholds, INDEX(IncomeTable, _xlpm.rowIndex, 2):INDEX(IncomeTable, _xlpm.rowIndex, 8),
    _xlpm.labels, {20,30,40,50,60,70,80},
    _xlpm.income, G58,
    IF(_xlpm.income &lt; INDEX(_xlpm.thresholds,1), "Below 20%",
      IF(_xlpm.income &gt; INDEX(_xlpm.thresholds,7), "Above 80%",
        INDEX(_xlpm.labels, _xlfn.XLOOKUP(_xlpm.income, _xlpm.thresholds, _xlfn.SEQUENCE(1,7), , -1))
      )
    )
  )
)</f>
        <v/>
      </c>
      <c r="I58" s="42" t="str">
        <f t="shared" si="2"/>
        <v/>
      </c>
      <c r="J58" s="61"/>
      <c r="K58" s="61"/>
      <c r="L58" s="61"/>
      <c r="M58" s="61"/>
      <c r="N58" s="47" t="str">
        <f t="shared" si="0"/>
        <v/>
      </c>
      <c r="O58" s="48" t="str">
        <f>IF(OR(C58="", B58=""), "",
  INDEX(RentTable, MATCH(B58, {0,1,2,3,4}, 0), MATCH(C58, {20,30,40,50,60,70,80}, 1))
)</f>
        <v/>
      </c>
      <c r="P58" s="60"/>
      <c r="Q58" s="48" t="str">
        <f t="shared" si="3"/>
        <v/>
      </c>
      <c r="R58" s="60"/>
      <c r="S58" s="60"/>
      <c r="T58" s="48" t="str">
        <f t="shared" si="1"/>
        <v/>
      </c>
      <c r="U58" s="42" t="str" cm="1">
        <f t="array" ref="U58">_xlfn.IFS(OR(Q58="", T58="", Q58=0, "", T58=0), "", AND(T58&lt;=Q58,D58&lt;=Q58), "Y", OR(T58&gt;Q58,D58&gt;Q58), "N")</f>
        <v/>
      </c>
      <c r="V58" s="62"/>
      <c r="W58" s="63"/>
    </row>
    <row r="59" spans="1:23" x14ac:dyDescent="0.25">
      <c r="A59" s="58"/>
      <c r="B59" s="59"/>
      <c r="C59" s="59"/>
      <c r="D59" s="60"/>
      <c r="E59" s="59"/>
      <c r="F59" s="59"/>
      <c r="G59" s="60"/>
      <c r="H59" s="43" t="str" cm="1">
        <f t="array" ref="H59">IF(OR(F59="", G59=""), "",
  _xlfn.LET(
    _xlpm.rowIndex, MATCH(F59, INDEX(IncomeTable,,1), 0),
    _xlpm.thresholds, INDEX(IncomeTable, _xlpm.rowIndex, 2):INDEX(IncomeTable, _xlpm.rowIndex, 8),
    _xlpm.labels, {20,30,40,50,60,70,80},
    _xlpm.income, G59,
    IF(_xlpm.income &lt; INDEX(_xlpm.thresholds,1), "Below 20%",
      IF(_xlpm.income &gt; INDEX(_xlpm.thresholds,7), "Above 80%",
        INDEX(_xlpm.labels, _xlfn.XLOOKUP(_xlpm.income, _xlpm.thresholds, _xlfn.SEQUENCE(1,7), , -1))
      )
    )
  )
)</f>
        <v/>
      </c>
      <c r="I59" s="42" t="str">
        <f t="shared" si="2"/>
        <v/>
      </c>
      <c r="J59" s="61"/>
      <c r="K59" s="61"/>
      <c r="L59" s="61"/>
      <c r="M59" s="61"/>
      <c r="N59" s="47" t="str">
        <f t="shared" si="0"/>
        <v/>
      </c>
      <c r="O59" s="48" t="str">
        <f>IF(OR(C59="", B59=""), "",
  INDEX(RentTable, MATCH(B59, {0,1,2,3,4}, 0), MATCH(C59, {20,30,40,50,60,70,80}, 1))
)</f>
        <v/>
      </c>
      <c r="P59" s="60"/>
      <c r="Q59" s="48" t="str">
        <f t="shared" si="3"/>
        <v/>
      </c>
      <c r="R59" s="60"/>
      <c r="S59" s="60"/>
      <c r="T59" s="48" t="str">
        <f t="shared" si="1"/>
        <v/>
      </c>
      <c r="U59" s="42" t="str" cm="1">
        <f t="array" ref="U59">_xlfn.IFS(OR(Q59="", T59="", Q59=0, "", T59=0), "", AND(T59&lt;=Q59,D59&lt;=Q59), "Y", OR(T59&gt;Q59,D59&gt;Q59), "N")</f>
        <v/>
      </c>
      <c r="V59" s="62"/>
      <c r="W59" s="63"/>
    </row>
    <row r="60" spans="1:23" x14ac:dyDescent="0.25">
      <c r="A60" s="58"/>
      <c r="B60" s="59"/>
      <c r="C60" s="59"/>
      <c r="D60" s="60"/>
      <c r="E60" s="59"/>
      <c r="F60" s="59"/>
      <c r="G60" s="60"/>
      <c r="H60" s="43" t="str" cm="1">
        <f t="array" ref="H60">IF(OR(F60="", G60=""), "",
  _xlfn.LET(
    _xlpm.rowIndex, MATCH(F60, INDEX(IncomeTable,,1), 0),
    _xlpm.thresholds, INDEX(IncomeTable, _xlpm.rowIndex, 2):INDEX(IncomeTable, _xlpm.rowIndex, 8),
    _xlpm.labels, {20,30,40,50,60,70,80},
    _xlpm.income, G60,
    IF(_xlpm.income &lt; INDEX(_xlpm.thresholds,1), "Below 20%",
      IF(_xlpm.income &gt; INDEX(_xlpm.thresholds,7), "Above 80%",
        INDEX(_xlpm.labels, _xlfn.XLOOKUP(_xlpm.income, _xlpm.thresholds, _xlfn.SEQUENCE(1,7), , -1))
      )
    )
  )
)</f>
        <v/>
      </c>
      <c r="I60" s="42" t="str">
        <f t="shared" si="2"/>
        <v/>
      </c>
      <c r="J60" s="61"/>
      <c r="K60" s="61"/>
      <c r="L60" s="61"/>
      <c r="M60" s="61"/>
      <c r="N60" s="47" t="str">
        <f t="shared" si="0"/>
        <v/>
      </c>
      <c r="O60" s="48" t="str">
        <f>IF(OR(C60="", B60=""), "",
  INDEX(RentTable, MATCH(B60, {0,1,2,3,4}, 0), MATCH(C60, {20,30,40,50,60,70,80}, 1))
)</f>
        <v/>
      </c>
      <c r="P60" s="60"/>
      <c r="Q60" s="48" t="str">
        <f t="shared" si="3"/>
        <v/>
      </c>
      <c r="R60" s="60"/>
      <c r="S60" s="60"/>
      <c r="T60" s="48" t="str">
        <f t="shared" si="1"/>
        <v/>
      </c>
      <c r="U60" s="42" t="str" cm="1">
        <f t="array" ref="U60">_xlfn.IFS(OR(Q60="", T60="", Q60=0, "", T60=0), "", AND(T60&lt;=Q60,D60&lt;=Q60), "Y", OR(T60&gt;Q60,D60&gt;Q60), "N")</f>
        <v/>
      </c>
      <c r="V60" s="62"/>
      <c r="W60" s="63"/>
    </row>
    <row r="61" spans="1:23" x14ac:dyDescent="0.25">
      <c r="A61" s="58"/>
      <c r="B61" s="59"/>
      <c r="C61" s="59"/>
      <c r="D61" s="60"/>
      <c r="E61" s="59"/>
      <c r="F61" s="59"/>
      <c r="G61" s="60"/>
      <c r="H61" s="43" t="str" cm="1">
        <f t="array" ref="H61">IF(OR(F61="", G61=""), "",
  _xlfn.LET(
    _xlpm.rowIndex, MATCH(F61, INDEX(IncomeTable,,1), 0),
    _xlpm.thresholds, INDEX(IncomeTable, _xlpm.rowIndex, 2):INDEX(IncomeTable, _xlpm.rowIndex, 8),
    _xlpm.labels, {20,30,40,50,60,70,80},
    _xlpm.income, G61,
    IF(_xlpm.income &lt; INDEX(_xlpm.thresholds,1), "Below 20%",
      IF(_xlpm.income &gt; INDEX(_xlpm.thresholds,7), "Above 80%",
        INDEX(_xlpm.labels, _xlfn.XLOOKUP(_xlpm.income, _xlpm.thresholds, _xlfn.SEQUENCE(1,7), , -1))
      )
    )
  )
)</f>
        <v/>
      </c>
      <c r="I61" s="42" t="str">
        <f t="shared" si="2"/>
        <v/>
      </c>
      <c r="J61" s="61"/>
      <c r="K61" s="61"/>
      <c r="L61" s="61"/>
      <c r="M61" s="61"/>
      <c r="N61" s="47" t="str">
        <f t="shared" si="0"/>
        <v/>
      </c>
      <c r="O61" s="48" t="str">
        <f>IF(OR(C61="", B61=""), "",
  INDEX(RentTable, MATCH(B61, {0,1,2,3,4}, 0), MATCH(C61, {20,30,40,50,60,70,80}, 1))
)</f>
        <v/>
      </c>
      <c r="P61" s="60"/>
      <c r="Q61" s="48" t="str">
        <f t="shared" si="3"/>
        <v/>
      </c>
      <c r="R61" s="60"/>
      <c r="S61" s="60"/>
      <c r="T61" s="48" t="str">
        <f t="shared" si="1"/>
        <v/>
      </c>
      <c r="U61" s="42" t="str" cm="1">
        <f t="array" ref="U61">_xlfn.IFS(OR(Q61="", T61="", Q61=0, "", T61=0), "", AND(T61&lt;=Q61,D61&lt;=Q61), "Y", OR(T61&gt;Q61,D61&gt;Q61), "N")</f>
        <v/>
      </c>
      <c r="V61" s="62"/>
      <c r="W61" s="63"/>
    </row>
    <row r="62" spans="1:23" x14ac:dyDescent="0.25">
      <c r="A62" s="58"/>
      <c r="B62" s="59"/>
      <c r="C62" s="59"/>
      <c r="D62" s="60"/>
      <c r="E62" s="59"/>
      <c r="F62" s="59"/>
      <c r="G62" s="60"/>
      <c r="H62" s="43" t="str" cm="1">
        <f t="array" ref="H62">IF(OR(F62="", G62=""), "",
  _xlfn.LET(
    _xlpm.rowIndex, MATCH(F62, INDEX(IncomeTable,,1), 0),
    _xlpm.thresholds, INDEX(IncomeTable, _xlpm.rowIndex, 2):INDEX(IncomeTable, _xlpm.rowIndex, 8),
    _xlpm.labels, {20,30,40,50,60,70,80},
    _xlpm.income, G62,
    IF(_xlpm.income &lt; INDEX(_xlpm.thresholds,1), "Below 20%",
      IF(_xlpm.income &gt; INDEX(_xlpm.thresholds,7), "Above 80%",
        INDEX(_xlpm.labels, _xlfn.XLOOKUP(_xlpm.income, _xlpm.thresholds, _xlfn.SEQUENCE(1,7), , -1))
      )
    )
  )
)</f>
        <v/>
      </c>
      <c r="I62" s="42" t="str">
        <f t="shared" si="2"/>
        <v/>
      </c>
      <c r="J62" s="61"/>
      <c r="K62" s="61"/>
      <c r="L62" s="61"/>
      <c r="M62" s="61"/>
      <c r="N62" s="47" t="str">
        <f t="shared" si="0"/>
        <v/>
      </c>
      <c r="O62" s="48" t="str">
        <f>IF(OR(C62="", B62=""), "",
  INDEX(RentTable, MATCH(B62, {0,1,2,3,4}, 0), MATCH(C62, {20,30,40,50,60,70,80}, 1))
)</f>
        <v/>
      </c>
      <c r="P62" s="60"/>
      <c r="Q62" s="48" t="str">
        <f t="shared" si="3"/>
        <v/>
      </c>
      <c r="R62" s="60"/>
      <c r="S62" s="60"/>
      <c r="T62" s="48" t="str">
        <f t="shared" si="1"/>
        <v/>
      </c>
      <c r="U62" s="42" t="str" cm="1">
        <f t="array" ref="U62">_xlfn.IFS(OR(Q62="", T62="", Q62=0, "", T62=0), "", AND(T62&lt;=Q62,D62&lt;=Q62), "Y", OR(T62&gt;Q62,D62&gt;Q62), "N")</f>
        <v/>
      </c>
      <c r="V62" s="62"/>
      <c r="W62" s="63"/>
    </row>
    <row r="63" spans="1:23" x14ac:dyDescent="0.25">
      <c r="A63" s="58"/>
      <c r="B63" s="59"/>
      <c r="C63" s="59"/>
      <c r="D63" s="60"/>
      <c r="E63" s="59"/>
      <c r="F63" s="59"/>
      <c r="G63" s="60"/>
      <c r="H63" s="43" t="str" cm="1">
        <f t="array" ref="H63">IF(OR(F63="", G63=""), "",
  _xlfn.LET(
    _xlpm.rowIndex, MATCH(F63, INDEX(IncomeTable,,1), 0),
    _xlpm.thresholds, INDEX(IncomeTable, _xlpm.rowIndex, 2):INDEX(IncomeTable, _xlpm.rowIndex, 8),
    _xlpm.labels, {20,30,40,50,60,70,80},
    _xlpm.income, G63,
    IF(_xlpm.income &lt; INDEX(_xlpm.thresholds,1), "Below 20%",
      IF(_xlpm.income &gt; INDEX(_xlpm.thresholds,7), "Above 80%",
        INDEX(_xlpm.labels, _xlfn.XLOOKUP(_xlpm.income, _xlpm.thresholds, _xlfn.SEQUENCE(1,7), , -1))
      )
    )
  )
)</f>
        <v/>
      </c>
      <c r="I63" s="42" t="str">
        <f t="shared" si="2"/>
        <v/>
      </c>
      <c r="J63" s="61"/>
      <c r="K63" s="61"/>
      <c r="L63" s="61"/>
      <c r="M63" s="61"/>
      <c r="N63" s="47" t="str">
        <f t="shared" si="0"/>
        <v/>
      </c>
      <c r="O63" s="48" t="str">
        <f>IF(OR(C63="", B63=""), "",
  INDEX(RentTable, MATCH(B63, {0,1,2,3,4}, 0), MATCH(C63, {20,30,40,50,60,70,80}, 1))
)</f>
        <v/>
      </c>
      <c r="P63" s="60"/>
      <c r="Q63" s="48" t="str">
        <f t="shared" si="3"/>
        <v/>
      </c>
      <c r="R63" s="60"/>
      <c r="S63" s="60"/>
      <c r="T63" s="48" t="str">
        <f t="shared" si="1"/>
        <v/>
      </c>
      <c r="U63" s="42" t="str" cm="1">
        <f t="array" ref="U63">_xlfn.IFS(OR(Q63="", T63="", Q63=0, "", T63=0), "", AND(T63&lt;=Q63,D63&lt;=Q63), "Y", OR(T63&gt;Q63,D63&gt;Q63), "N")</f>
        <v/>
      </c>
      <c r="V63" s="62"/>
      <c r="W63" s="63"/>
    </row>
    <row r="64" spans="1:23" x14ac:dyDescent="0.25">
      <c r="A64" s="58"/>
      <c r="B64" s="59"/>
      <c r="C64" s="59"/>
      <c r="D64" s="60"/>
      <c r="E64" s="59"/>
      <c r="F64" s="59"/>
      <c r="G64" s="60"/>
      <c r="H64" s="43" t="str" cm="1">
        <f t="array" ref="H64">IF(OR(F64="", G64=""), "",
  _xlfn.LET(
    _xlpm.rowIndex, MATCH(F64, INDEX(IncomeTable,,1), 0),
    _xlpm.thresholds, INDEX(IncomeTable, _xlpm.rowIndex, 2):INDEX(IncomeTable, _xlpm.rowIndex, 8),
    _xlpm.labels, {20,30,40,50,60,70,80},
    _xlpm.income, G64,
    IF(_xlpm.income &lt; INDEX(_xlpm.thresholds,1), "Below 20%",
      IF(_xlpm.income &gt; INDEX(_xlpm.thresholds,7), "Above 80%",
        INDEX(_xlpm.labels, _xlfn.XLOOKUP(_xlpm.income, _xlpm.thresholds, _xlfn.SEQUENCE(1,7), , -1))
      )
    )
  )
)</f>
        <v/>
      </c>
      <c r="I64" s="42" t="str">
        <f t="shared" si="2"/>
        <v/>
      </c>
      <c r="J64" s="61"/>
      <c r="K64" s="61"/>
      <c r="L64" s="61"/>
      <c r="M64" s="61"/>
      <c r="N64" s="47" t="str">
        <f t="shared" si="0"/>
        <v/>
      </c>
      <c r="O64" s="48" t="str">
        <f>IF(OR(C64="", B64=""), "",
  INDEX(RentTable, MATCH(B64, {0,1,2,3,4}, 0), MATCH(C64, {20,30,40,50,60,70,80}, 1))
)</f>
        <v/>
      </c>
      <c r="P64" s="60"/>
      <c r="Q64" s="48" t="str">
        <f t="shared" si="3"/>
        <v/>
      </c>
      <c r="R64" s="60"/>
      <c r="S64" s="60"/>
      <c r="T64" s="48" t="str">
        <f t="shared" si="1"/>
        <v/>
      </c>
      <c r="U64" s="42" t="str" cm="1">
        <f t="array" ref="U64">_xlfn.IFS(OR(Q64="", T64="", Q64=0, "", T64=0), "", AND(T64&lt;=Q64,D64&lt;=Q64), "Y", OR(T64&gt;Q64,D64&gt;Q64), "N")</f>
        <v/>
      </c>
      <c r="V64" s="62"/>
      <c r="W64" s="63"/>
    </row>
    <row r="65" spans="1:23" x14ac:dyDescent="0.25">
      <c r="A65" s="58"/>
      <c r="B65" s="59"/>
      <c r="C65" s="59"/>
      <c r="D65" s="60"/>
      <c r="E65" s="59"/>
      <c r="F65" s="59"/>
      <c r="G65" s="60"/>
      <c r="H65" s="43" t="str" cm="1">
        <f t="array" ref="H65">IF(OR(F65="", G65=""), "",
  _xlfn.LET(
    _xlpm.rowIndex, MATCH(F65, INDEX(IncomeTable,,1), 0),
    _xlpm.thresholds, INDEX(IncomeTable, _xlpm.rowIndex, 2):INDEX(IncomeTable, _xlpm.rowIndex, 8),
    _xlpm.labels, {20,30,40,50,60,70,80},
    _xlpm.income, G65,
    IF(_xlpm.income &lt; INDEX(_xlpm.thresholds,1), "Below 20%",
      IF(_xlpm.income &gt; INDEX(_xlpm.thresholds,7), "Above 80%",
        INDEX(_xlpm.labels, _xlfn.XLOOKUP(_xlpm.income, _xlpm.thresholds, _xlfn.SEQUENCE(1,7), , -1))
      )
    )
  )
)</f>
        <v/>
      </c>
      <c r="I65" s="42" t="str">
        <f t="shared" si="2"/>
        <v/>
      </c>
      <c r="J65" s="61"/>
      <c r="K65" s="61"/>
      <c r="L65" s="61"/>
      <c r="M65" s="61"/>
      <c r="N65" s="47" t="str">
        <f t="shared" si="0"/>
        <v/>
      </c>
      <c r="O65" s="48" t="str">
        <f>IF(OR(C65="", B65=""), "",
  INDEX(RentTable, MATCH(B65, {0,1,2,3,4}, 0), MATCH(C65, {20,30,40,50,60,70,80}, 1))
)</f>
        <v/>
      </c>
      <c r="P65" s="60"/>
      <c r="Q65" s="48" t="str">
        <f t="shared" si="3"/>
        <v/>
      </c>
      <c r="R65" s="60"/>
      <c r="S65" s="60"/>
      <c r="T65" s="48" t="str">
        <f t="shared" si="1"/>
        <v/>
      </c>
      <c r="U65" s="42" t="str" cm="1">
        <f t="array" ref="U65">_xlfn.IFS(OR(Q65="", T65="", Q65=0, "", T65=0), "", AND(T65&lt;=Q65,D65&lt;=Q65), "Y", OR(T65&gt;Q65,D65&gt;Q65), "N")</f>
        <v/>
      </c>
      <c r="V65" s="62"/>
      <c r="W65" s="63"/>
    </row>
    <row r="66" spans="1:23" x14ac:dyDescent="0.25">
      <c r="A66" s="58"/>
      <c r="B66" s="59"/>
      <c r="C66" s="59"/>
      <c r="D66" s="60"/>
      <c r="E66" s="59"/>
      <c r="F66" s="59"/>
      <c r="G66" s="60"/>
      <c r="H66" s="43" t="str" cm="1">
        <f t="array" ref="H66">IF(OR(F66="", G66=""), "",
  _xlfn.LET(
    _xlpm.rowIndex, MATCH(F66, INDEX(IncomeTable,,1), 0),
    _xlpm.thresholds, INDEX(IncomeTable, _xlpm.rowIndex, 2):INDEX(IncomeTable, _xlpm.rowIndex, 8),
    _xlpm.labels, {20,30,40,50,60,70,80},
    _xlpm.income, G66,
    IF(_xlpm.income &lt; INDEX(_xlpm.thresholds,1), "Below 20%",
      IF(_xlpm.income &gt; INDEX(_xlpm.thresholds,7), "Above 80%",
        INDEX(_xlpm.labels, _xlfn.XLOOKUP(_xlpm.income, _xlpm.thresholds, _xlfn.SEQUENCE(1,7), , -1))
      )
    )
  )
)</f>
        <v/>
      </c>
      <c r="I66" s="42" t="str">
        <f t="shared" si="2"/>
        <v/>
      </c>
      <c r="J66" s="61"/>
      <c r="K66" s="61"/>
      <c r="L66" s="61"/>
      <c r="M66" s="61"/>
      <c r="N66" s="47" t="str">
        <f t="shared" si="0"/>
        <v/>
      </c>
      <c r="O66" s="48" t="str">
        <f>IF(OR(C66="", B66=""), "",
  INDEX(RentTable, MATCH(B66, {0,1,2,3,4}, 0), MATCH(C66, {20,30,40,50,60,70,80}, 1))
)</f>
        <v/>
      </c>
      <c r="P66" s="60"/>
      <c r="Q66" s="48" t="str">
        <f t="shared" si="3"/>
        <v/>
      </c>
      <c r="R66" s="60"/>
      <c r="S66" s="60"/>
      <c r="T66" s="48" t="str">
        <f t="shared" si="1"/>
        <v/>
      </c>
      <c r="U66" s="42" t="str" cm="1">
        <f t="array" ref="U66">_xlfn.IFS(OR(Q66="", T66="", Q66=0, "", T66=0), "", AND(T66&lt;=Q66,D66&lt;=Q66), "Y", OR(T66&gt;Q66,D66&gt;Q66), "N")</f>
        <v/>
      </c>
      <c r="V66" s="62"/>
      <c r="W66" s="63"/>
    </row>
    <row r="67" spans="1:23" x14ac:dyDescent="0.25">
      <c r="A67" s="58"/>
      <c r="B67" s="59"/>
      <c r="C67" s="59"/>
      <c r="D67" s="60"/>
      <c r="E67" s="59"/>
      <c r="F67" s="59"/>
      <c r="G67" s="60"/>
      <c r="H67" s="43" t="str" cm="1">
        <f t="array" ref="H67">IF(OR(F67="", G67=""), "",
  _xlfn.LET(
    _xlpm.rowIndex, MATCH(F67, INDEX(IncomeTable,,1), 0),
    _xlpm.thresholds, INDEX(IncomeTable, _xlpm.rowIndex, 2):INDEX(IncomeTable, _xlpm.rowIndex, 8),
    _xlpm.labels, {20,30,40,50,60,70,80},
    _xlpm.income, G67,
    IF(_xlpm.income &lt; INDEX(_xlpm.thresholds,1), "Below 20%",
      IF(_xlpm.income &gt; INDEX(_xlpm.thresholds,7), "Above 80%",
        INDEX(_xlpm.labels, _xlfn.XLOOKUP(_xlpm.income, _xlpm.thresholds, _xlfn.SEQUENCE(1,7), , -1))
      )
    )
  )
)</f>
        <v/>
      </c>
      <c r="I67" s="42" t="str">
        <f t="shared" si="2"/>
        <v/>
      </c>
      <c r="J67" s="61"/>
      <c r="K67" s="61"/>
      <c r="L67" s="61"/>
      <c r="M67" s="61"/>
      <c r="N67" s="47" t="str">
        <f t="shared" si="0"/>
        <v/>
      </c>
      <c r="O67" s="48" t="str">
        <f>IF(OR(C67="", B67=""), "",
  INDEX(RentTable, MATCH(B67, {0,1,2,3,4}, 0), MATCH(C67, {20,30,40,50,60,70,80}, 1))
)</f>
        <v/>
      </c>
      <c r="P67" s="60"/>
      <c r="Q67" s="48" t="str">
        <f t="shared" si="3"/>
        <v/>
      </c>
      <c r="R67" s="60"/>
      <c r="S67" s="60"/>
      <c r="T67" s="48" t="str">
        <f t="shared" si="1"/>
        <v/>
      </c>
      <c r="U67" s="42" t="str" cm="1">
        <f t="array" ref="U67">_xlfn.IFS(OR(Q67="", T67="", Q67=0, "", T67=0), "", AND(T67&lt;=Q67,D67&lt;=Q67), "Y", OR(T67&gt;Q67,D67&gt;Q67), "N")</f>
        <v/>
      </c>
      <c r="V67" s="62"/>
      <c r="W67" s="63"/>
    </row>
    <row r="68" spans="1:23" x14ac:dyDescent="0.25">
      <c r="A68" s="58"/>
      <c r="B68" s="59"/>
      <c r="C68" s="59"/>
      <c r="D68" s="60"/>
      <c r="E68" s="59"/>
      <c r="F68" s="59"/>
      <c r="G68" s="60"/>
      <c r="H68" s="43" t="str" cm="1">
        <f t="array" ref="H68">IF(OR(F68="", G68=""), "",
  _xlfn.LET(
    _xlpm.rowIndex, MATCH(F68, INDEX(IncomeTable,,1), 0),
    _xlpm.thresholds, INDEX(IncomeTable, _xlpm.rowIndex, 2):INDEX(IncomeTable, _xlpm.rowIndex, 8),
    _xlpm.labels, {20,30,40,50,60,70,80},
    _xlpm.income, G68,
    IF(_xlpm.income &lt; INDEX(_xlpm.thresholds,1), "Below 20%",
      IF(_xlpm.income &gt; INDEX(_xlpm.thresholds,7), "Above 80%",
        INDEX(_xlpm.labels, _xlfn.XLOOKUP(_xlpm.income, _xlpm.thresholds, _xlfn.SEQUENCE(1,7), , -1))
      )
    )
  )
)</f>
        <v/>
      </c>
      <c r="I68" s="42" t="str">
        <f t="shared" si="2"/>
        <v/>
      </c>
      <c r="J68" s="61"/>
      <c r="K68" s="61"/>
      <c r="L68" s="61"/>
      <c r="M68" s="61"/>
      <c r="N68" s="47" t="str">
        <f t="shared" si="0"/>
        <v/>
      </c>
      <c r="O68" s="48" t="str">
        <f>IF(OR(C68="", B68=""), "",
  INDEX(RentTable, MATCH(B68, {0,1,2,3,4}, 0), MATCH(C68, {20,30,40,50,60,70,80}, 1))
)</f>
        <v/>
      </c>
      <c r="P68" s="60"/>
      <c r="Q68" s="48" t="str">
        <f t="shared" si="3"/>
        <v/>
      </c>
      <c r="R68" s="60"/>
      <c r="S68" s="60"/>
      <c r="T68" s="48" t="str">
        <f t="shared" si="1"/>
        <v/>
      </c>
      <c r="U68" s="42" t="str" cm="1">
        <f t="array" ref="U68">_xlfn.IFS(OR(Q68="", T68="", Q68=0, "", T68=0), "", AND(T68&lt;=Q68,D68&lt;=Q68), "Y", OR(T68&gt;Q68,D68&gt;Q68), "N")</f>
        <v/>
      </c>
      <c r="V68" s="62"/>
      <c r="W68" s="63"/>
    </row>
    <row r="69" spans="1:23" x14ac:dyDescent="0.25">
      <c r="A69" s="58"/>
      <c r="B69" s="59"/>
      <c r="C69" s="59"/>
      <c r="D69" s="60"/>
      <c r="E69" s="59"/>
      <c r="F69" s="59"/>
      <c r="G69" s="60"/>
      <c r="H69" s="43" t="str" cm="1">
        <f t="array" ref="H69">IF(OR(F69="", G69=""), "",
  _xlfn.LET(
    _xlpm.rowIndex, MATCH(F69, INDEX(IncomeTable,,1), 0),
    _xlpm.thresholds, INDEX(IncomeTable, _xlpm.rowIndex, 2):INDEX(IncomeTable, _xlpm.rowIndex, 8),
    _xlpm.labels, {20,30,40,50,60,70,80},
    _xlpm.income, G69,
    IF(_xlpm.income &lt; INDEX(_xlpm.thresholds,1), "Below 20%",
      IF(_xlpm.income &gt; INDEX(_xlpm.thresholds,7), "Above 80%",
        INDEX(_xlpm.labels, _xlfn.XLOOKUP(_xlpm.income, _xlpm.thresholds, _xlfn.SEQUENCE(1,7), , -1))
      )
    )
  )
)</f>
        <v/>
      </c>
      <c r="I69" s="42" t="str">
        <f t="shared" si="2"/>
        <v/>
      </c>
      <c r="J69" s="61"/>
      <c r="K69" s="61"/>
      <c r="L69" s="61"/>
      <c r="M69" s="61"/>
      <c r="N69" s="47" t="str">
        <f t="shared" si="0"/>
        <v/>
      </c>
      <c r="O69" s="48" t="str">
        <f>IF(OR(C69="", B69=""), "",
  INDEX(RentTable, MATCH(B69, {0,1,2,3,4}, 0), MATCH(C69, {20,30,40,50,60,70,80}, 1))
)</f>
        <v/>
      </c>
      <c r="P69" s="60"/>
      <c r="Q69" s="48" t="str">
        <f t="shared" si="3"/>
        <v/>
      </c>
      <c r="R69" s="60"/>
      <c r="S69" s="60"/>
      <c r="T69" s="48" t="str">
        <f t="shared" si="1"/>
        <v/>
      </c>
      <c r="U69" s="42" t="str" cm="1">
        <f t="array" ref="U69">_xlfn.IFS(OR(Q69="", T69="", Q69=0, "", T69=0), "", AND(T69&lt;=Q69,D69&lt;=Q69), "Y", OR(T69&gt;Q69,D69&gt;Q69), "N")</f>
        <v/>
      </c>
      <c r="V69" s="62"/>
      <c r="W69" s="63"/>
    </row>
    <row r="70" spans="1:23" x14ac:dyDescent="0.25">
      <c r="A70" s="58"/>
      <c r="B70" s="59"/>
      <c r="C70" s="59"/>
      <c r="D70" s="60"/>
      <c r="E70" s="59"/>
      <c r="F70" s="59"/>
      <c r="G70" s="60"/>
      <c r="H70" s="43" t="str" cm="1">
        <f t="array" ref="H70">IF(OR(F70="", G70=""), "",
  _xlfn.LET(
    _xlpm.rowIndex, MATCH(F70, INDEX(IncomeTable,,1), 0),
    _xlpm.thresholds, INDEX(IncomeTable, _xlpm.rowIndex, 2):INDEX(IncomeTable, _xlpm.rowIndex, 8),
    _xlpm.labels, {20,30,40,50,60,70,80},
    _xlpm.income, G70,
    IF(_xlpm.income &lt; INDEX(_xlpm.thresholds,1), "Below 20%",
      IF(_xlpm.income &gt; INDEX(_xlpm.thresholds,7), "Above 80%",
        INDEX(_xlpm.labels, _xlfn.XLOOKUP(_xlpm.income, _xlpm.thresholds, _xlfn.SEQUENCE(1,7), , -1))
      )
    )
  )
)</f>
        <v/>
      </c>
      <c r="I70" s="42" t="str">
        <f t="shared" si="2"/>
        <v/>
      </c>
      <c r="J70" s="61"/>
      <c r="K70" s="61"/>
      <c r="L70" s="61"/>
      <c r="M70" s="61"/>
      <c r="N70" s="47" t="str">
        <f t="shared" si="0"/>
        <v/>
      </c>
      <c r="O70" s="48" t="str">
        <f>IF(OR(C70="", B70=""), "",
  INDEX(RentTable, MATCH(B70, {0,1,2,3,4}, 0), MATCH(C70, {20,30,40,50,60,70,80}, 1))
)</f>
        <v/>
      </c>
      <c r="P70" s="60"/>
      <c r="Q70" s="48" t="str">
        <f t="shared" si="3"/>
        <v/>
      </c>
      <c r="R70" s="60"/>
      <c r="S70" s="60"/>
      <c r="T70" s="48" t="str">
        <f t="shared" si="1"/>
        <v/>
      </c>
      <c r="U70" s="42" t="str" cm="1">
        <f t="array" ref="U70">_xlfn.IFS(OR(Q70="", T70="", Q70=0, "", T70=0), "", AND(T70&lt;=Q70,D70&lt;=Q70), "Y", OR(T70&gt;Q70,D70&gt;Q70), "N")</f>
        <v/>
      </c>
      <c r="V70" s="62"/>
      <c r="W70" s="63"/>
    </row>
    <row r="71" spans="1:23" x14ac:dyDescent="0.25">
      <c r="A71" s="58"/>
      <c r="B71" s="59"/>
      <c r="C71" s="59"/>
      <c r="D71" s="60"/>
      <c r="E71" s="59"/>
      <c r="F71" s="59"/>
      <c r="G71" s="60"/>
      <c r="H71" s="43" t="str" cm="1">
        <f t="array" ref="H71">IF(OR(F71="", G71=""), "",
  _xlfn.LET(
    _xlpm.rowIndex, MATCH(F71, INDEX(IncomeTable,,1), 0),
    _xlpm.thresholds, INDEX(IncomeTable, _xlpm.rowIndex, 2):INDEX(IncomeTable, _xlpm.rowIndex, 8),
    _xlpm.labels, {20,30,40,50,60,70,80},
    _xlpm.income, G71,
    IF(_xlpm.income &lt; INDEX(_xlpm.thresholds,1), "Below 20%",
      IF(_xlpm.income &gt; INDEX(_xlpm.thresholds,7), "Above 80%",
        INDEX(_xlpm.labels, _xlfn.XLOOKUP(_xlpm.income, _xlpm.thresholds, _xlfn.SEQUENCE(1,7), , -1))
      )
    )
  )
)</f>
        <v/>
      </c>
      <c r="I71" s="42" t="str">
        <f t="shared" si="2"/>
        <v/>
      </c>
      <c r="J71" s="61"/>
      <c r="K71" s="61"/>
      <c r="L71" s="61"/>
      <c r="M71" s="61"/>
      <c r="N71" s="47" t="str">
        <f t="shared" si="0"/>
        <v/>
      </c>
      <c r="O71" s="48" t="str">
        <f>IF(OR(C71="", B71=""), "",
  INDEX(RentTable, MATCH(B71, {0,1,2,3,4}, 0), MATCH(C71, {20,30,40,50,60,70,80}, 1))
)</f>
        <v/>
      </c>
      <c r="P71" s="60"/>
      <c r="Q71" s="48" t="str">
        <f t="shared" si="3"/>
        <v/>
      </c>
      <c r="R71" s="60"/>
      <c r="S71" s="60"/>
      <c r="T71" s="48" t="str">
        <f t="shared" si="1"/>
        <v/>
      </c>
      <c r="U71" s="42" t="str" cm="1">
        <f t="array" ref="U71">_xlfn.IFS(OR(Q71="", T71="", Q71=0, "", T71=0), "", AND(T71&lt;=Q71,D71&lt;=Q71), "Y", OR(T71&gt;Q71,D71&gt;Q71), "N")</f>
        <v/>
      </c>
      <c r="V71" s="62"/>
      <c r="W71" s="63"/>
    </row>
    <row r="72" spans="1:23" x14ac:dyDescent="0.25">
      <c r="A72" s="58"/>
      <c r="B72" s="59"/>
      <c r="C72" s="59"/>
      <c r="D72" s="60"/>
      <c r="E72" s="59"/>
      <c r="F72" s="59"/>
      <c r="G72" s="60"/>
      <c r="H72" s="43" t="str" cm="1">
        <f t="array" ref="H72">IF(OR(F72="", G72=""), "",
  _xlfn.LET(
    _xlpm.rowIndex, MATCH(F72, INDEX(IncomeTable,,1), 0),
    _xlpm.thresholds, INDEX(IncomeTable, _xlpm.rowIndex, 2):INDEX(IncomeTable, _xlpm.rowIndex, 8),
    _xlpm.labels, {20,30,40,50,60,70,80},
    _xlpm.income, G72,
    IF(_xlpm.income &lt; INDEX(_xlpm.thresholds,1), "Below 20%",
      IF(_xlpm.income &gt; INDEX(_xlpm.thresholds,7), "Above 80%",
        INDEX(_xlpm.labels, _xlfn.XLOOKUP(_xlpm.income, _xlpm.thresholds, _xlfn.SEQUENCE(1,7), , -1))
      )
    )
  )
)</f>
        <v/>
      </c>
      <c r="I72" s="42" t="str">
        <f t="shared" si="2"/>
        <v/>
      </c>
      <c r="J72" s="61"/>
      <c r="K72" s="61"/>
      <c r="L72" s="61"/>
      <c r="M72" s="61"/>
      <c r="N72" s="47" t="str">
        <f t="shared" si="0"/>
        <v/>
      </c>
      <c r="O72" s="48" t="str">
        <f>IF(OR(C72="", B72=""), "",
  INDEX(RentTable, MATCH(B72, {0,1,2,3,4}, 0), MATCH(C72, {20,30,40,50,60,70,80}, 1))
)</f>
        <v/>
      </c>
      <c r="P72" s="60"/>
      <c r="Q72" s="48" t="str">
        <f t="shared" si="3"/>
        <v/>
      </c>
      <c r="R72" s="60"/>
      <c r="S72" s="60"/>
      <c r="T72" s="48" t="str">
        <f t="shared" si="1"/>
        <v/>
      </c>
      <c r="U72" s="42" t="str" cm="1">
        <f t="array" ref="U72">_xlfn.IFS(OR(Q72="", T72="", Q72=0, "", T72=0), "", AND(T72&lt;=Q72,D72&lt;=Q72), "Y", OR(T72&gt;Q72,D72&gt;Q72), "N")</f>
        <v/>
      </c>
      <c r="V72" s="62"/>
      <c r="W72" s="63"/>
    </row>
    <row r="73" spans="1:23" x14ac:dyDescent="0.25">
      <c r="A73" s="58"/>
      <c r="B73" s="59"/>
      <c r="C73" s="59"/>
      <c r="D73" s="60"/>
      <c r="E73" s="59"/>
      <c r="F73" s="59"/>
      <c r="G73" s="60"/>
      <c r="H73" s="43" t="str" cm="1">
        <f t="array" ref="H73">IF(OR(F73="", G73=""), "",
  _xlfn.LET(
    _xlpm.rowIndex, MATCH(F73, INDEX(IncomeTable,,1), 0),
    _xlpm.thresholds, INDEX(IncomeTable, _xlpm.rowIndex, 2):INDEX(IncomeTable, _xlpm.rowIndex, 8),
    _xlpm.labels, {20,30,40,50,60,70,80},
    _xlpm.income, G73,
    IF(_xlpm.income &lt; INDEX(_xlpm.thresholds,1), "Below 20%",
      IF(_xlpm.income &gt; INDEX(_xlpm.thresholds,7), "Above 80%",
        INDEX(_xlpm.labels, _xlfn.XLOOKUP(_xlpm.income, _xlpm.thresholds, _xlfn.SEQUENCE(1,7), , -1))
      )
    )
  )
)</f>
        <v/>
      </c>
      <c r="I73" s="42" t="str">
        <f t="shared" si="2"/>
        <v/>
      </c>
      <c r="J73" s="61"/>
      <c r="K73" s="61"/>
      <c r="L73" s="61"/>
      <c r="M73" s="61"/>
      <c r="N73" s="47" t="str">
        <f t="shared" si="0"/>
        <v/>
      </c>
      <c r="O73" s="48" t="str">
        <f>IF(OR(C73="", B73=""), "",
  INDEX(RentTable, MATCH(B73, {0,1,2,3,4}, 0), MATCH(C73, {20,30,40,50,60,70,80}, 1))
)</f>
        <v/>
      </c>
      <c r="P73" s="60"/>
      <c r="Q73" s="48" t="str">
        <f t="shared" si="3"/>
        <v/>
      </c>
      <c r="R73" s="60"/>
      <c r="S73" s="60"/>
      <c r="T73" s="48" t="str">
        <f t="shared" si="1"/>
        <v/>
      </c>
      <c r="U73" s="42" t="str" cm="1">
        <f t="array" ref="U73">_xlfn.IFS(OR(Q73="", T73="", Q73=0, "", T73=0), "", AND(T73&lt;=Q73,D73&lt;=Q73), "Y", OR(T73&gt;Q73,D73&gt;Q73), "N")</f>
        <v/>
      </c>
      <c r="V73" s="62"/>
      <c r="W73" s="63"/>
    </row>
    <row r="74" spans="1:23" x14ac:dyDescent="0.25">
      <c r="A74" s="58"/>
      <c r="B74" s="59"/>
      <c r="C74" s="59"/>
      <c r="D74" s="60"/>
      <c r="E74" s="59"/>
      <c r="F74" s="59"/>
      <c r="G74" s="60"/>
      <c r="H74" s="43" t="str" cm="1">
        <f t="array" ref="H74">IF(OR(F74="", G74=""), "",
  _xlfn.LET(
    _xlpm.rowIndex, MATCH(F74, INDEX(IncomeTable,,1), 0),
    _xlpm.thresholds, INDEX(IncomeTable, _xlpm.rowIndex, 2):INDEX(IncomeTable, _xlpm.rowIndex, 8),
    _xlpm.labels, {20,30,40,50,60,70,80},
    _xlpm.income, G74,
    IF(_xlpm.income &lt; INDEX(_xlpm.thresholds,1), "Below 20%",
      IF(_xlpm.income &gt; INDEX(_xlpm.thresholds,7), "Above 80%",
        INDEX(_xlpm.labels, _xlfn.XLOOKUP(_xlpm.income, _xlpm.thresholds, _xlfn.SEQUENCE(1,7), , -1))
      )
    )
  )
)</f>
        <v/>
      </c>
      <c r="I74" s="42" t="str">
        <f t="shared" si="2"/>
        <v/>
      </c>
      <c r="J74" s="61"/>
      <c r="K74" s="61"/>
      <c r="L74" s="61"/>
      <c r="M74" s="61"/>
      <c r="N74" s="47" t="str">
        <f t="shared" si="0"/>
        <v/>
      </c>
      <c r="O74" s="48" t="str">
        <f>IF(OR(C74="", B74=""), "",
  INDEX(RentTable, MATCH(B74, {0,1,2,3,4}, 0), MATCH(C74, {20,30,40,50,60,70,80}, 1))
)</f>
        <v/>
      </c>
      <c r="P74" s="60"/>
      <c r="Q74" s="48" t="str">
        <f t="shared" si="3"/>
        <v/>
      </c>
      <c r="R74" s="60"/>
      <c r="S74" s="60"/>
      <c r="T74" s="48" t="str">
        <f t="shared" si="1"/>
        <v/>
      </c>
      <c r="U74" s="42" t="str" cm="1">
        <f t="array" ref="U74">_xlfn.IFS(OR(Q74="", T74="", Q74=0, "", T74=0), "", AND(T74&lt;=Q74,D74&lt;=Q74), "Y", OR(T74&gt;Q74,D74&gt;Q74), "N")</f>
        <v/>
      </c>
      <c r="V74" s="62"/>
      <c r="W74" s="63"/>
    </row>
    <row r="75" spans="1:23" x14ac:dyDescent="0.25">
      <c r="A75" s="58"/>
      <c r="B75" s="59"/>
      <c r="C75" s="59"/>
      <c r="D75" s="60"/>
      <c r="E75" s="59"/>
      <c r="F75" s="59"/>
      <c r="G75" s="60"/>
      <c r="H75" s="43" t="str" cm="1">
        <f t="array" ref="H75">IF(OR(F75="", G75=""), "",
  _xlfn.LET(
    _xlpm.rowIndex, MATCH(F75, INDEX(IncomeTable,,1), 0),
    _xlpm.thresholds, INDEX(IncomeTable, _xlpm.rowIndex, 2):INDEX(IncomeTable, _xlpm.rowIndex, 8),
    _xlpm.labels, {20,30,40,50,60,70,80},
    _xlpm.income, G75,
    IF(_xlpm.income &lt; INDEX(_xlpm.thresholds,1), "Below 20%",
      IF(_xlpm.income &gt; INDEX(_xlpm.thresholds,7), "Above 80%",
        INDEX(_xlpm.labels, _xlfn.XLOOKUP(_xlpm.income, _xlpm.thresholds, _xlfn.SEQUENCE(1,7), , -1))
      )
    )
  )
)</f>
        <v/>
      </c>
      <c r="I75" s="42" t="str">
        <f t="shared" si="2"/>
        <v/>
      </c>
      <c r="J75" s="61"/>
      <c r="K75" s="61"/>
      <c r="L75" s="61"/>
      <c r="M75" s="61"/>
      <c r="N75" s="47" t="str">
        <f t="shared" si="0"/>
        <v/>
      </c>
      <c r="O75" s="48" t="str">
        <f>IF(OR(C75="", B75=""), "",
  INDEX(RentTable, MATCH(B75, {0,1,2,3,4}, 0), MATCH(C75, {20,30,40,50,60,70,80}, 1))
)</f>
        <v/>
      </c>
      <c r="P75" s="60"/>
      <c r="Q75" s="48" t="str">
        <f t="shared" si="3"/>
        <v/>
      </c>
      <c r="R75" s="60"/>
      <c r="S75" s="60"/>
      <c r="T75" s="48" t="str">
        <f t="shared" si="1"/>
        <v/>
      </c>
      <c r="U75" s="42" t="str" cm="1">
        <f t="array" ref="U75">_xlfn.IFS(OR(Q75="", T75="", Q75=0, "", T75=0), "", AND(T75&lt;=Q75,D75&lt;=Q75), "Y", OR(T75&gt;Q75,D75&gt;Q75), "N")</f>
        <v/>
      </c>
      <c r="V75" s="62"/>
      <c r="W75" s="63"/>
    </row>
    <row r="76" spans="1:23" x14ac:dyDescent="0.25">
      <c r="A76" s="58"/>
      <c r="B76" s="59"/>
      <c r="C76" s="59"/>
      <c r="D76" s="60"/>
      <c r="E76" s="59"/>
      <c r="F76" s="59"/>
      <c r="G76" s="60"/>
      <c r="H76" s="43" t="str" cm="1">
        <f t="array" ref="H76">IF(OR(F76="", G76=""), "",
  _xlfn.LET(
    _xlpm.rowIndex, MATCH(F76, INDEX(IncomeTable,,1), 0),
    _xlpm.thresholds, INDEX(IncomeTable, _xlpm.rowIndex, 2):INDEX(IncomeTable, _xlpm.rowIndex, 8),
    _xlpm.labels, {20,30,40,50,60,70,80},
    _xlpm.income, G76,
    IF(_xlpm.income &lt; INDEX(_xlpm.thresholds,1), "Below 20%",
      IF(_xlpm.income &gt; INDEX(_xlpm.thresholds,7), "Above 80%",
        INDEX(_xlpm.labels, _xlfn.XLOOKUP(_xlpm.income, _xlpm.thresholds, _xlfn.SEQUENCE(1,7), , -1))
      )
    )
  )
)</f>
        <v/>
      </c>
      <c r="I76" s="42" t="str">
        <f t="shared" si="2"/>
        <v/>
      </c>
      <c r="J76" s="61"/>
      <c r="K76" s="61"/>
      <c r="L76" s="61"/>
      <c r="M76" s="61"/>
      <c r="N76" s="47" t="str">
        <f t="shared" si="0"/>
        <v/>
      </c>
      <c r="O76" s="48" t="str">
        <f>IF(OR(C76="", B76=""), "",
  INDEX(RentTable, MATCH(B76, {0,1,2,3,4}, 0), MATCH(C76, {20,30,40,50,60,70,80}, 1))
)</f>
        <v/>
      </c>
      <c r="P76" s="60"/>
      <c r="Q76" s="48" t="str">
        <f t="shared" si="3"/>
        <v/>
      </c>
      <c r="R76" s="60"/>
      <c r="S76" s="60"/>
      <c r="T76" s="48" t="str">
        <f t="shared" si="1"/>
        <v/>
      </c>
      <c r="U76" s="42" t="str" cm="1">
        <f t="array" ref="U76">_xlfn.IFS(OR(Q76="", T76="", Q76=0, "", T76=0), "", AND(T76&lt;=Q76,D76&lt;=Q76), "Y", OR(T76&gt;Q76,D76&gt;Q76), "N")</f>
        <v/>
      </c>
      <c r="V76" s="62"/>
      <c r="W76" s="63"/>
    </row>
    <row r="77" spans="1:23" x14ac:dyDescent="0.25">
      <c r="A77" s="58"/>
      <c r="B77" s="59"/>
      <c r="C77" s="59"/>
      <c r="D77" s="60"/>
      <c r="E77" s="59"/>
      <c r="F77" s="59"/>
      <c r="G77" s="60"/>
      <c r="H77" s="43" t="str" cm="1">
        <f t="array" ref="H77">IF(OR(F77="", G77=""), "",
  _xlfn.LET(
    _xlpm.rowIndex, MATCH(F77, INDEX(IncomeTable,,1), 0),
    _xlpm.thresholds, INDEX(IncomeTable, _xlpm.rowIndex, 2):INDEX(IncomeTable, _xlpm.rowIndex, 8),
    _xlpm.labels, {20,30,40,50,60,70,80},
    _xlpm.income, G77,
    IF(_xlpm.income &lt; INDEX(_xlpm.thresholds,1), "Below 20%",
      IF(_xlpm.income &gt; INDEX(_xlpm.thresholds,7), "Above 80%",
        INDEX(_xlpm.labels, _xlfn.XLOOKUP(_xlpm.income, _xlpm.thresholds, _xlfn.SEQUENCE(1,7), , -1))
      )
    )
  )
)</f>
        <v/>
      </c>
      <c r="I77" s="42" t="str">
        <f t="shared" si="2"/>
        <v/>
      </c>
      <c r="J77" s="61"/>
      <c r="K77" s="61"/>
      <c r="L77" s="61"/>
      <c r="M77" s="61"/>
      <c r="N77" s="47" t="str">
        <f t="shared" si="0"/>
        <v/>
      </c>
      <c r="O77" s="48" t="str">
        <f>IF(OR(C77="", B77=""), "",
  INDEX(RentTable, MATCH(B77, {0,1,2,3,4}, 0), MATCH(C77, {20,30,40,50,60,70,80}, 1))
)</f>
        <v/>
      </c>
      <c r="P77" s="60"/>
      <c r="Q77" s="48" t="str">
        <f t="shared" si="3"/>
        <v/>
      </c>
      <c r="R77" s="60"/>
      <c r="S77" s="60"/>
      <c r="T77" s="48" t="str">
        <f t="shared" si="1"/>
        <v/>
      </c>
      <c r="U77" s="42" t="str" cm="1">
        <f t="array" ref="U77">_xlfn.IFS(OR(Q77="", T77="", Q77=0, "", T77=0), "", AND(T77&lt;=Q77,D77&lt;=Q77), "Y", OR(T77&gt;Q77,D77&gt;Q77), "N")</f>
        <v/>
      </c>
      <c r="V77" s="62"/>
      <c r="W77" s="63"/>
    </row>
    <row r="78" spans="1:23" x14ac:dyDescent="0.25">
      <c r="A78" s="58"/>
      <c r="B78" s="59"/>
      <c r="C78" s="59"/>
      <c r="D78" s="60"/>
      <c r="E78" s="59"/>
      <c r="F78" s="59"/>
      <c r="G78" s="60"/>
      <c r="H78" s="43" t="str" cm="1">
        <f t="array" ref="H78">IF(OR(F78="", G78=""), "",
  _xlfn.LET(
    _xlpm.rowIndex, MATCH(F78, INDEX(IncomeTable,,1), 0),
    _xlpm.thresholds, INDEX(IncomeTable, _xlpm.rowIndex, 2):INDEX(IncomeTable, _xlpm.rowIndex, 8),
    _xlpm.labels, {20,30,40,50,60,70,80},
    _xlpm.income, G78,
    IF(_xlpm.income &lt; INDEX(_xlpm.thresholds,1), "Below 20%",
      IF(_xlpm.income &gt; INDEX(_xlpm.thresholds,7), "Above 80%",
        INDEX(_xlpm.labels, _xlfn.XLOOKUP(_xlpm.income, _xlpm.thresholds, _xlfn.SEQUENCE(1,7), , -1))
      )
    )
  )
)</f>
        <v/>
      </c>
      <c r="I78" s="42" t="str">
        <f t="shared" si="2"/>
        <v/>
      </c>
      <c r="J78" s="61"/>
      <c r="K78" s="61"/>
      <c r="L78" s="61"/>
      <c r="M78" s="61"/>
      <c r="N78" s="47" t="str">
        <f t="shared" si="0"/>
        <v/>
      </c>
      <c r="O78" s="48" t="str">
        <f>IF(OR(C78="", B78=""), "",
  INDEX(RentTable, MATCH(B78, {0,1,2,3,4}, 0), MATCH(C78, {20,30,40,50,60,70,80}, 1))
)</f>
        <v/>
      </c>
      <c r="P78" s="60"/>
      <c r="Q78" s="48" t="str">
        <f t="shared" si="3"/>
        <v/>
      </c>
      <c r="R78" s="60"/>
      <c r="S78" s="60"/>
      <c r="T78" s="48" t="str">
        <f t="shared" si="1"/>
        <v/>
      </c>
      <c r="U78" s="42" t="str" cm="1">
        <f t="array" ref="U78">_xlfn.IFS(OR(Q78="", T78="", Q78=0, "", T78=0), "", AND(T78&lt;=Q78,D78&lt;=Q78), "Y", OR(T78&gt;Q78,D78&gt;Q78), "N")</f>
        <v/>
      </c>
      <c r="V78" s="62"/>
      <c r="W78" s="63"/>
    </row>
    <row r="79" spans="1:23" x14ac:dyDescent="0.25">
      <c r="A79" s="58"/>
      <c r="B79" s="59"/>
      <c r="C79" s="59"/>
      <c r="D79" s="60"/>
      <c r="E79" s="59"/>
      <c r="F79" s="59"/>
      <c r="G79" s="60"/>
      <c r="H79" s="43" t="str" cm="1">
        <f t="array" ref="H79">IF(OR(F79="", G79=""), "",
  _xlfn.LET(
    _xlpm.rowIndex, MATCH(F79, INDEX(IncomeTable,,1), 0),
    _xlpm.thresholds, INDEX(IncomeTable, _xlpm.rowIndex, 2):INDEX(IncomeTable, _xlpm.rowIndex, 8),
    _xlpm.labels, {20,30,40,50,60,70,80},
    _xlpm.income, G79,
    IF(_xlpm.income &lt; INDEX(_xlpm.thresholds,1), "Below 20%",
      IF(_xlpm.income &gt; INDEX(_xlpm.thresholds,7), "Above 80%",
        INDEX(_xlpm.labels, _xlfn.XLOOKUP(_xlpm.income, _xlpm.thresholds, _xlfn.SEQUENCE(1,7), , -1))
      )
    )
  )
)</f>
        <v/>
      </c>
      <c r="I79" s="42" t="str">
        <f t="shared" si="2"/>
        <v/>
      </c>
      <c r="J79" s="61"/>
      <c r="K79" s="61"/>
      <c r="L79" s="61"/>
      <c r="M79" s="61"/>
      <c r="N79" s="47" t="str">
        <f t="shared" si="0"/>
        <v/>
      </c>
      <c r="O79" s="48" t="str">
        <f>IF(OR(C79="", B79=""), "",
  INDEX(RentTable, MATCH(B79, {0,1,2,3,4}, 0), MATCH(C79, {20,30,40,50,60,70,80}, 1))
)</f>
        <v/>
      </c>
      <c r="P79" s="60"/>
      <c r="Q79" s="48" t="str">
        <f t="shared" si="3"/>
        <v/>
      </c>
      <c r="R79" s="60"/>
      <c r="S79" s="60"/>
      <c r="T79" s="48" t="str">
        <f t="shared" si="1"/>
        <v/>
      </c>
      <c r="U79" s="42" t="str" cm="1">
        <f t="array" ref="U79">_xlfn.IFS(OR(Q79="", T79="", Q79=0, "", T79=0), "", AND(T79&lt;=Q79,D79&lt;=Q79), "Y", OR(T79&gt;Q79,D79&gt;Q79), "N")</f>
        <v/>
      </c>
      <c r="V79" s="62"/>
      <c r="W79" s="63"/>
    </row>
    <row r="80" spans="1:23" x14ac:dyDescent="0.25">
      <c r="A80" s="58"/>
      <c r="B80" s="59"/>
      <c r="C80" s="59"/>
      <c r="D80" s="60"/>
      <c r="E80" s="59"/>
      <c r="F80" s="59"/>
      <c r="G80" s="60"/>
      <c r="H80" s="43" t="str" cm="1">
        <f t="array" ref="H80">IF(OR(F80="", G80=""), "",
  _xlfn.LET(
    _xlpm.rowIndex, MATCH(F80, INDEX(IncomeTable,,1), 0),
    _xlpm.thresholds, INDEX(IncomeTable, _xlpm.rowIndex, 2):INDEX(IncomeTable, _xlpm.rowIndex, 8),
    _xlpm.labels, {20,30,40,50,60,70,80},
    _xlpm.income, G80,
    IF(_xlpm.income &lt; INDEX(_xlpm.thresholds,1), "Below 20%",
      IF(_xlpm.income &gt; INDEX(_xlpm.thresholds,7), "Above 80%",
        INDEX(_xlpm.labels, _xlfn.XLOOKUP(_xlpm.income, _xlpm.thresholds, _xlfn.SEQUENCE(1,7), , -1))
      )
    )
  )
)</f>
        <v/>
      </c>
      <c r="I80" s="42" t="str">
        <f t="shared" si="2"/>
        <v/>
      </c>
      <c r="J80" s="61"/>
      <c r="K80" s="61"/>
      <c r="L80" s="61"/>
      <c r="M80" s="61"/>
      <c r="N80" s="47" t="str">
        <f t="shared" si="0"/>
        <v/>
      </c>
      <c r="O80" s="48" t="str">
        <f>IF(OR(C80="", B80=""), "",
  INDEX(RentTable, MATCH(B80, {0,1,2,3,4}, 0), MATCH(C80, {20,30,40,50,60,70,80}, 1))
)</f>
        <v/>
      </c>
      <c r="P80" s="60"/>
      <c r="Q80" s="48" t="str">
        <f t="shared" si="3"/>
        <v/>
      </c>
      <c r="R80" s="60"/>
      <c r="S80" s="60"/>
      <c r="T80" s="48" t="str">
        <f t="shared" si="1"/>
        <v/>
      </c>
      <c r="U80" s="42" t="str" cm="1">
        <f t="array" ref="U80">_xlfn.IFS(OR(Q80="", T80="", Q80=0, "", T80=0), "", AND(T80&lt;=Q80,D80&lt;=Q80), "Y", OR(T80&gt;Q80,D80&gt;Q80), "N")</f>
        <v/>
      </c>
      <c r="V80" s="62"/>
      <c r="W80" s="63"/>
    </row>
    <row r="81" spans="1:23" x14ac:dyDescent="0.25">
      <c r="A81" s="58"/>
      <c r="B81" s="59"/>
      <c r="C81" s="59"/>
      <c r="D81" s="60"/>
      <c r="E81" s="59"/>
      <c r="F81" s="59"/>
      <c r="G81" s="60"/>
      <c r="H81" s="43" t="str" cm="1">
        <f t="array" ref="H81">IF(OR(F81="", G81=""), "",
  _xlfn.LET(
    _xlpm.rowIndex, MATCH(F81, INDEX(IncomeTable,,1), 0),
    _xlpm.thresholds, INDEX(IncomeTable, _xlpm.rowIndex, 2):INDEX(IncomeTable, _xlpm.rowIndex, 8),
    _xlpm.labels, {20,30,40,50,60,70,80},
    _xlpm.income, G81,
    IF(_xlpm.income &lt; INDEX(_xlpm.thresholds,1), "Below 20%",
      IF(_xlpm.income &gt; INDEX(_xlpm.thresholds,7), "Above 80%",
        INDEX(_xlpm.labels, _xlfn.XLOOKUP(_xlpm.income, _xlpm.thresholds, _xlfn.SEQUENCE(1,7), , -1))
      )
    )
  )
)</f>
        <v/>
      </c>
      <c r="I81" s="42" t="str">
        <f t="shared" si="2"/>
        <v/>
      </c>
      <c r="J81" s="61"/>
      <c r="K81" s="61"/>
      <c r="L81" s="61"/>
      <c r="M81" s="61"/>
      <c r="N81" s="47" t="str">
        <f t="shared" si="0"/>
        <v/>
      </c>
      <c r="O81" s="48" t="str">
        <f>IF(OR(C81="", B81=""), "",
  INDEX(RentTable, MATCH(B81, {0,1,2,3,4}, 0), MATCH(C81, {20,30,40,50,60,70,80}, 1))
)</f>
        <v/>
      </c>
      <c r="P81" s="60"/>
      <c r="Q81" s="48" t="str">
        <f t="shared" si="3"/>
        <v/>
      </c>
      <c r="R81" s="60"/>
      <c r="S81" s="60"/>
      <c r="T81" s="48" t="str">
        <f t="shared" si="1"/>
        <v/>
      </c>
      <c r="U81" s="42" t="str" cm="1">
        <f t="array" ref="U81">_xlfn.IFS(OR(Q81="", T81="", Q81=0, "", T81=0), "", AND(T81&lt;=Q81,D81&lt;=Q81), "Y", OR(T81&gt;Q81,D81&gt;Q81), "N")</f>
        <v/>
      </c>
      <c r="V81" s="62"/>
      <c r="W81" s="63"/>
    </row>
    <row r="82" spans="1:23" x14ac:dyDescent="0.25">
      <c r="A82" s="58"/>
      <c r="B82" s="59"/>
      <c r="C82" s="59"/>
      <c r="D82" s="60"/>
      <c r="E82" s="59"/>
      <c r="F82" s="59"/>
      <c r="G82" s="60"/>
      <c r="H82" s="43" t="str" cm="1">
        <f t="array" ref="H82">IF(OR(F82="", G82=""), "",
  _xlfn.LET(
    _xlpm.rowIndex, MATCH(F82, INDEX(IncomeTable,,1), 0),
    _xlpm.thresholds, INDEX(IncomeTable, _xlpm.rowIndex, 2):INDEX(IncomeTable, _xlpm.rowIndex, 8),
    _xlpm.labels, {20,30,40,50,60,70,80},
    _xlpm.income, G82,
    IF(_xlpm.income &lt; INDEX(_xlpm.thresholds,1), "Below 20%",
      IF(_xlpm.income &gt; INDEX(_xlpm.thresholds,7), "Above 80%",
        INDEX(_xlpm.labels, _xlfn.XLOOKUP(_xlpm.income, _xlpm.thresholds, _xlfn.SEQUENCE(1,7), , -1))
      )
    )
  )
)</f>
        <v/>
      </c>
      <c r="I82" s="42" t="str">
        <f t="shared" si="2"/>
        <v/>
      </c>
      <c r="J82" s="61"/>
      <c r="K82" s="61"/>
      <c r="L82" s="61"/>
      <c r="M82" s="61"/>
      <c r="N82" s="47" t="str">
        <f t="shared" si="0"/>
        <v/>
      </c>
      <c r="O82" s="48" t="str">
        <f>IF(OR(C82="", B82=""), "",
  INDEX(RentTable, MATCH(B82, {0,1,2,3,4}, 0), MATCH(C82, {20,30,40,50,60,70,80}, 1))
)</f>
        <v/>
      </c>
      <c r="P82" s="60"/>
      <c r="Q82" s="48" t="str">
        <f t="shared" si="3"/>
        <v/>
      </c>
      <c r="R82" s="60"/>
      <c r="S82" s="60"/>
      <c r="T82" s="48" t="str">
        <f t="shared" si="1"/>
        <v/>
      </c>
      <c r="U82" s="42" t="str" cm="1">
        <f t="array" ref="U82">_xlfn.IFS(OR(Q82="", T82="", Q82=0, "", T82=0), "", AND(T82&lt;=Q82,D82&lt;=Q82), "Y", OR(T82&gt;Q82,D82&gt;Q82), "N")</f>
        <v/>
      </c>
      <c r="V82" s="62"/>
      <c r="W82" s="63"/>
    </row>
    <row r="83" spans="1:23" x14ac:dyDescent="0.25">
      <c r="A83" s="58"/>
      <c r="B83" s="59"/>
      <c r="C83" s="59"/>
      <c r="D83" s="60"/>
      <c r="E83" s="59"/>
      <c r="F83" s="59"/>
      <c r="G83" s="60"/>
      <c r="H83" s="43" t="str" cm="1">
        <f t="array" ref="H83">IF(OR(F83="", G83=""), "",
  _xlfn.LET(
    _xlpm.rowIndex, MATCH(F83, INDEX(IncomeTable,,1), 0),
    _xlpm.thresholds, INDEX(IncomeTable, _xlpm.rowIndex, 2):INDEX(IncomeTable, _xlpm.rowIndex, 8),
    _xlpm.labels, {20,30,40,50,60,70,80},
    _xlpm.income, G83,
    IF(_xlpm.income &lt; INDEX(_xlpm.thresholds,1), "Below 20%",
      IF(_xlpm.income &gt; INDEX(_xlpm.thresholds,7), "Above 80%",
        INDEX(_xlpm.labels, _xlfn.XLOOKUP(_xlpm.income, _xlpm.thresholds, _xlfn.SEQUENCE(1,7), , -1))
      )
    )
  )
)</f>
        <v/>
      </c>
      <c r="I83" s="42" t="str">
        <f t="shared" si="2"/>
        <v/>
      </c>
      <c r="J83" s="61"/>
      <c r="K83" s="61"/>
      <c r="L83" s="61"/>
      <c r="M83" s="61"/>
      <c r="N83" s="47" t="str">
        <f t="shared" si="0"/>
        <v/>
      </c>
      <c r="O83" s="48" t="str">
        <f>IF(OR(C83="", B83=""), "",
  INDEX(RentTable, MATCH(B83, {0,1,2,3,4}, 0), MATCH(C83, {20,30,40,50,60,70,80}, 1))
)</f>
        <v/>
      </c>
      <c r="P83" s="60"/>
      <c r="Q83" s="48" t="str">
        <f t="shared" si="3"/>
        <v/>
      </c>
      <c r="R83" s="60"/>
      <c r="S83" s="60"/>
      <c r="T83" s="48" t="str">
        <f t="shared" si="1"/>
        <v/>
      </c>
      <c r="U83" s="42" t="str" cm="1">
        <f t="array" ref="U83">_xlfn.IFS(OR(Q83="", T83="", Q83=0, "", T83=0), "", AND(T83&lt;=Q83,D83&lt;=Q83), "Y", OR(T83&gt;Q83,D83&gt;Q83), "N")</f>
        <v/>
      </c>
      <c r="V83" s="62"/>
      <c r="W83" s="63"/>
    </row>
    <row r="84" spans="1:23" x14ac:dyDescent="0.25">
      <c r="A84" s="58"/>
      <c r="B84" s="59"/>
      <c r="C84" s="59"/>
      <c r="D84" s="60"/>
      <c r="E84" s="59"/>
      <c r="F84" s="59"/>
      <c r="G84" s="60"/>
      <c r="H84" s="43" t="str" cm="1">
        <f t="array" ref="H84">IF(OR(F84="", G84=""), "",
  _xlfn.LET(
    _xlpm.rowIndex, MATCH(F84, INDEX(IncomeTable,,1), 0),
    _xlpm.thresholds, INDEX(IncomeTable, _xlpm.rowIndex, 2):INDEX(IncomeTable, _xlpm.rowIndex, 8),
    _xlpm.labels, {20,30,40,50,60,70,80},
    _xlpm.income, G84,
    IF(_xlpm.income &lt; INDEX(_xlpm.thresholds,1), "Below 20%",
      IF(_xlpm.income &gt; INDEX(_xlpm.thresholds,7), "Above 80%",
        INDEX(_xlpm.labels, _xlfn.XLOOKUP(_xlpm.income, _xlpm.thresholds, _xlfn.SEQUENCE(1,7), , -1))
      )
    )
  )
)</f>
        <v/>
      </c>
      <c r="I84" s="42" t="str">
        <f t="shared" si="2"/>
        <v/>
      </c>
      <c r="J84" s="61"/>
      <c r="K84" s="61"/>
      <c r="L84" s="61"/>
      <c r="M84" s="61"/>
      <c r="N84" s="47" t="str">
        <f t="shared" si="0"/>
        <v/>
      </c>
      <c r="O84" s="48" t="str">
        <f>IF(OR(C84="", B84=""), "",
  INDEX(RentTable, MATCH(B84, {0,1,2,3,4}, 0), MATCH(C84, {20,30,40,50,60,70,80}, 1))
)</f>
        <v/>
      </c>
      <c r="P84" s="60"/>
      <c r="Q84" s="48" t="str">
        <f t="shared" si="3"/>
        <v/>
      </c>
      <c r="R84" s="60"/>
      <c r="S84" s="60"/>
      <c r="T84" s="48" t="str">
        <f t="shared" si="1"/>
        <v/>
      </c>
      <c r="U84" s="42" t="str" cm="1">
        <f t="array" ref="U84">_xlfn.IFS(OR(Q84="", T84="", Q84=0, "", T84=0), "", AND(T84&lt;=Q84,D84&lt;=Q84), "Y", OR(T84&gt;Q84,D84&gt;Q84), "N")</f>
        <v/>
      </c>
      <c r="V84" s="62"/>
      <c r="W84" s="63"/>
    </row>
    <row r="85" spans="1:23" x14ac:dyDescent="0.25">
      <c r="A85" s="58"/>
      <c r="B85" s="59"/>
      <c r="C85" s="59"/>
      <c r="D85" s="60"/>
      <c r="E85" s="59"/>
      <c r="F85" s="59"/>
      <c r="G85" s="60"/>
      <c r="H85" s="43" t="str" cm="1">
        <f t="array" ref="H85">IF(OR(F85="", G85=""), "",
  _xlfn.LET(
    _xlpm.rowIndex, MATCH(F85, INDEX(IncomeTable,,1), 0),
    _xlpm.thresholds, INDEX(IncomeTable, _xlpm.rowIndex, 2):INDEX(IncomeTable, _xlpm.rowIndex, 8),
    _xlpm.labels, {20,30,40,50,60,70,80},
    _xlpm.income, G85,
    IF(_xlpm.income &lt; INDEX(_xlpm.thresholds,1), "Below 20%",
      IF(_xlpm.income &gt; INDEX(_xlpm.thresholds,7), "Above 80%",
        INDEX(_xlpm.labels, _xlfn.XLOOKUP(_xlpm.income, _xlpm.thresholds, _xlfn.SEQUENCE(1,7), , -1))
      )
    )
  )
)</f>
        <v/>
      </c>
      <c r="I85" s="42" t="str">
        <f t="shared" si="2"/>
        <v/>
      </c>
      <c r="J85" s="61"/>
      <c r="K85" s="61"/>
      <c r="L85" s="61"/>
      <c r="M85" s="61"/>
      <c r="N85" s="47" t="str">
        <f t="shared" si="0"/>
        <v/>
      </c>
      <c r="O85" s="48" t="str">
        <f>IF(OR(C85="", B85=""), "",
  INDEX(RentTable, MATCH(B85, {0,1,2,3,4}, 0), MATCH(C85, {20,30,40,50,60,70,80}, 1))
)</f>
        <v/>
      </c>
      <c r="P85" s="60"/>
      <c r="Q85" s="48" t="str">
        <f t="shared" si="3"/>
        <v/>
      </c>
      <c r="R85" s="60"/>
      <c r="S85" s="60"/>
      <c r="T85" s="48" t="str">
        <f t="shared" si="1"/>
        <v/>
      </c>
      <c r="U85" s="42" t="str" cm="1">
        <f t="array" ref="U85">_xlfn.IFS(OR(Q85="", T85="", Q85=0, "", T85=0), "", AND(T85&lt;=Q85,D85&lt;=Q85), "Y", OR(T85&gt;Q85,D85&gt;Q85), "N")</f>
        <v/>
      </c>
      <c r="V85" s="62"/>
      <c r="W85" s="63"/>
    </row>
    <row r="86" spans="1:23" x14ac:dyDescent="0.25">
      <c r="A86" s="58"/>
      <c r="B86" s="59"/>
      <c r="C86" s="59"/>
      <c r="D86" s="60"/>
      <c r="E86" s="59"/>
      <c r="F86" s="59"/>
      <c r="G86" s="60"/>
      <c r="H86" s="43" t="str" cm="1">
        <f t="array" ref="H86">IF(OR(F86="", G86=""), "",
  _xlfn.LET(
    _xlpm.rowIndex, MATCH(F86, INDEX(IncomeTable,,1), 0),
    _xlpm.thresholds, INDEX(IncomeTable, _xlpm.rowIndex, 2):INDEX(IncomeTable, _xlpm.rowIndex, 8),
    _xlpm.labels, {20,30,40,50,60,70,80},
    _xlpm.income, G86,
    IF(_xlpm.income &lt; INDEX(_xlpm.thresholds,1), "Below 20%",
      IF(_xlpm.income &gt; INDEX(_xlpm.thresholds,7), "Above 80%",
        INDEX(_xlpm.labels, _xlfn.XLOOKUP(_xlpm.income, _xlpm.thresholds, _xlfn.SEQUENCE(1,7), , -1))
      )
    )
  )
)</f>
        <v/>
      </c>
      <c r="I86" s="42" t="str">
        <f t="shared" si="2"/>
        <v/>
      </c>
      <c r="J86" s="61"/>
      <c r="K86" s="61"/>
      <c r="L86" s="61"/>
      <c r="M86" s="61"/>
      <c r="N86" s="47" t="str">
        <f t="shared" si="0"/>
        <v/>
      </c>
      <c r="O86" s="48" t="str">
        <f>IF(OR(C86="", B86=""), "",
  INDEX(RentTable, MATCH(B86, {0,1,2,3,4}, 0), MATCH(C86, {20,30,40,50,60,70,80}, 1))
)</f>
        <v/>
      </c>
      <c r="P86" s="60"/>
      <c r="Q86" s="48" t="str">
        <f t="shared" si="3"/>
        <v/>
      </c>
      <c r="R86" s="60"/>
      <c r="S86" s="60"/>
      <c r="T86" s="48" t="str">
        <f t="shared" si="1"/>
        <v/>
      </c>
      <c r="U86" s="42" t="str" cm="1">
        <f t="array" ref="U86">_xlfn.IFS(OR(Q86="", T86="", Q86=0, "", T86=0), "", AND(T86&lt;=Q86,D86&lt;=Q86), "Y", OR(T86&gt;Q86,D86&gt;Q86), "N")</f>
        <v/>
      </c>
      <c r="V86" s="62"/>
      <c r="W86" s="63"/>
    </row>
    <row r="87" spans="1:23" x14ac:dyDescent="0.25">
      <c r="A87" s="58"/>
      <c r="B87" s="59"/>
      <c r="C87" s="59"/>
      <c r="D87" s="60"/>
      <c r="E87" s="59"/>
      <c r="F87" s="59"/>
      <c r="G87" s="60"/>
      <c r="H87" s="43" t="str" cm="1">
        <f t="array" ref="H87">IF(OR(F87="", G87=""), "",
  _xlfn.LET(
    _xlpm.rowIndex, MATCH(F87, INDEX(IncomeTable,,1), 0),
    _xlpm.thresholds, INDEX(IncomeTable, _xlpm.rowIndex, 2):INDEX(IncomeTable, _xlpm.rowIndex, 8),
    _xlpm.labels, {20,30,40,50,60,70,80},
    _xlpm.income, G87,
    IF(_xlpm.income &lt; INDEX(_xlpm.thresholds,1), "Below 20%",
      IF(_xlpm.income &gt; INDEX(_xlpm.thresholds,7), "Above 80%",
        INDEX(_xlpm.labels, _xlfn.XLOOKUP(_xlpm.income, _xlpm.thresholds, _xlfn.SEQUENCE(1,7), , -1))
      )
    )
  )
)</f>
        <v/>
      </c>
      <c r="I87" s="42" t="str">
        <f t="shared" si="2"/>
        <v/>
      </c>
      <c r="J87" s="61"/>
      <c r="K87" s="61"/>
      <c r="L87" s="61"/>
      <c r="M87" s="61"/>
      <c r="N87" s="47" t="str">
        <f t="shared" si="0"/>
        <v/>
      </c>
      <c r="O87" s="48" t="str">
        <f>IF(OR(C87="", B87=""), "",
  INDEX(RentTable, MATCH(B87, {0,1,2,3,4}, 0), MATCH(C87, {20,30,40,50,60,70,80}, 1))
)</f>
        <v/>
      </c>
      <c r="P87" s="60"/>
      <c r="Q87" s="48" t="str">
        <f t="shared" si="3"/>
        <v/>
      </c>
      <c r="R87" s="60"/>
      <c r="S87" s="60"/>
      <c r="T87" s="48" t="str">
        <f t="shared" ref="T87:T150" si="4">IF(OR(R87=""), "", R87 + S87)</f>
        <v/>
      </c>
      <c r="U87" s="42" t="str" cm="1">
        <f t="array" ref="U87">_xlfn.IFS(OR(Q87="", T87="", Q87=0, "", T87=0), "", AND(T87&lt;=Q87,D87&lt;=Q87), "Y", OR(T87&gt;Q87,D87&gt;Q87), "N")</f>
        <v/>
      </c>
      <c r="V87" s="62"/>
      <c r="W87" s="63"/>
    </row>
    <row r="88" spans="1:23" x14ac:dyDescent="0.25">
      <c r="A88" s="58"/>
      <c r="B88" s="59"/>
      <c r="C88" s="59"/>
      <c r="D88" s="60"/>
      <c r="E88" s="59"/>
      <c r="F88" s="59"/>
      <c r="G88" s="60"/>
      <c r="H88" s="43" t="str" cm="1">
        <f t="array" ref="H88">IF(OR(F88="", G88=""), "",
  _xlfn.LET(
    _xlpm.rowIndex, MATCH(F88, INDEX(IncomeTable,,1), 0),
    _xlpm.thresholds, INDEX(IncomeTable, _xlpm.rowIndex, 2):INDEX(IncomeTable, _xlpm.rowIndex, 8),
    _xlpm.labels, {20,30,40,50,60,70,80},
    _xlpm.income, G88,
    IF(_xlpm.income &lt; INDEX(_xlpm.thresholds,1), "Below 20%",
      IF(_xlpm.income &gt; INDEX(_xlpm.thresholds,7), "Above 80%",
        INDEX(_xlpm.labels, _xlfn.XLOOKUP(_xlpm.income, _xlpm.thresholds, _xlfn.SEQUENCE(1,7), , -1))
      )
    )
  )
)</f>
        <v/>
      </c>
      <c r="I88" s="42" t="str">
        <f t="shared" si="2"/>
        <v/>
      </c>
      <c r="J88" s="61"/>
      <c r="K88" s="61"/>
      <c r="L88" s="61"/>
      <c r="M88" s="61"/>
      <c r="N88" s="47" t="str">
        <f t="shared" ref="N88:N151" si="5">IF(OR(L88="",M88="",J88=""),"",
IF(L88="Y",
IF(M88&lt;=J88,"Y","N"),
IF(M88&lt;=DATE(YEAR(J88),3,31),"Y","N")
))</f>
        <v/>
      </c>
      <c r="O88" s="48" t="str">
        <f>IF(OR(C88="", B88=""), "",
  INDEX(RentTable, MATCH(B88, {0,1,2,3,4}, 0), MATCH(C88, {20,30,40,50,60,70,80}, 1))
)</f>
        <v/>
      </c>
      <c r="P88" s="60"/>
      <c r="Q88" s="48" t="str">
        <f t="shared" si="3"/>
        <v/>
      </c>
      <c r="R88" s="60"/>
      <c r="S88" s="60"/>
      <c r="T88" s="48" t="str">
        <f t="shared" si="4"/>
        <v/>
      </c>
      <c r="U88" s="42" t="str" cm="1">
        <f t="array" ref="U88">_xlfn.IFS(OR(Q88="", T88="", Q88=0, "", T88=0), "", AND(T88&lt;=Q88,D88&lt;=Q88), "Y", OR(T88&gt;Q88,D88&gt;Q88), "N")</f>
        <v/>
      </c>
      <c r="V88" s="62"/>
      <c r="W88" s="63"/>
    </row>
    <row r="89" spans="1:23" x14ac:dyDescent="0.25">
      <c r="A89" s="58"/>
      <c r="B89" s="59"/>
      <c r="C89" s="59"/>
      <c r="D89" s="60"/>
      <c r="E89" s="59"/>
      <c r="F89" s="59"/>
      <c r="G89" s="60"/>
      <c r="H89" s="43" t="str" cm="1">
        <f t="array" ref="H89">IF(OR(F89="", G89=""), "",
  _xlfn.LET(
    _xlpm.rowIndex, MATCH(F89, INDEX(IncomeTable,,1), 0),
    _xlpm.thresholds, INDEX(IncomeTable, _xlpm.rowIndex, 2):INDEX(IncomeTable, _xlpm.rowIndex, 8),
    _xlpm.labels, {20,30,40,50,60,70,80},
    _xlpm.income, G89,
    IF(_xlpm.income &lt; INDEX(_xlpm.thresholds,1), "Below 20%",
      IF(_xlpm.income &gt; INDEX(_xlpm.thresholds,7), "Above 80%",
        INDEX(_xlpm.labels, _xlfn.XLOOKUP(_xlpm.income, _xlpm.thresholds, _xlfn.SEQUENCE(1,7), , -1))
      )
    )
  )
)</f>
        <v/>
      </c>
      <c r="I89" s="42" t="str">
        <f t="shared" si="2"/>
        <v/>
      </c>
      <c r="J89" s="61"/>
      <c r="K89" s="61"/>
      <c r="L89" s="61"/>
      <c r="M89" s="61"/>
      <c r="N89" s="47" t="str">
        <f t="shared" si="5"/>
        <v/>
      </c>
      <c r="O89" s="48" t="str">
        <f>IF(OR(C89="", B89=""), "",
  INDEX(RentTable, MATCH(B89, {0,1,2,3,4}, 0), MATCH(C89, {20,30,40,50,60,70,80}, 1))
)</f>
        <v/>
      </c>
      <c r="P89" s="60"/>
      <c r="Q89" s="48" t="str">
        <f t="shared" si="3"/>
        <v/>
      </c>
      <c r="R89" s="60"/>
      <c r="S89" s="60"/>
      <c r="T89" s="48" t="str">
        <f t="shared" si="4"/>
        <v/>
      </c>
      <c r="U89" s="42" t="str" cm="1">
        <f t="array" ref="U89">_xlfn.IFS(OR(Q89="", T89="", Q89=0, "", T89=0), "", AND(T89&lt;=Q89,D89&lt;=Q89), "Y", OR(T89&gt;Q89,D89&gt;Q89), "N")</f>
        <v/>
      </c>
      <c r="V89" s="62"/>
      <c r="W89" s="63"/>
    </row>
    <row r="90" spans="1:23" x14ac:dyDescent="0.25">
      <c r="A90" s="58"/>
      <c r="B90" s="59"/>
      <c r="C90" s="59"/>
      <c r="D90" s="60"/>
      <c r="E90" s="59"/>
      <c r="F90" s="59"/>
      <c r="G90" s="60"/>
      <c r="H90" s="43" t="str" cm="1">
        <f t="array" ref="H90">IF(OR(F90="", G90=""), "",
  _xlfn.LET(
    _xlpm.rowIndex, MATCH(F90, INDEX(IncomeTable,,1), 0),
    _xlpm.thresholds, INDEX(IncomeTable, _xlpm.rowIndex, 2):INDEX(IncomeTable, _xlpm.rowIndex, 8),
    _xlpm.labels, {20,30,40,50,60,70,80},
    _xlpm.income, G90,
    IF(_xlpm.income &lt; INDEX(_xlpm.thresholds,1), "Below 20%",
      IF(_xlpm.income &gt; INDEX(_xlpm.thresholds,7), "Above 80%",
        INDEX(_xlpm.labels, _xlfn.XLOOKUP(_xlpm.income, _xlpm.thresholds, _xlfn.SEQUENCE(1,7), , -1))
      )
    )
  )
)</f>
        <v/>
      </c>
      <c r="I90" s="42" t="str">
        <f t="shared" ref="I90:I153" si="6">IF(AND(ISNUMBER(C90), ISNUMBER(H90)), IF(C90=H90, "Y", "N"), "")</f>
        <v/>
      </c>
      <c r="J90" s="61"/>
      <c r="K90" s="61"/>
      <c r="L90" s="61"/>
      <c r="M90" s="61"/>
      <c r="N90" s="47" t="str">
        <f t="shared" si="5"/>
        <v/>
      </c>
      <c r="O90" s="48" t="str">
        <f>IF(OR(C90="", B90=""), "",
  INDEX(RentTable, MATCH(B90, {0,1,2,3,4}, 0), MATCH(C90, {20,30,40,50,60,70,80}, 1))
)</f>
        <v/>
      </c>
      <c r="P90" s="60"/>
      <c r="Q90" s="48" t="str">
        <f t="shared" ref="Q90:Q153" si="7">IF(OR(O90="", ISBLANK(O90), O90=0), "", O90 - P90)</f>
        <v/>
      </c>
      <c r="R90" s="60"/>
      <c r="S90" s="60"/>
      <c r="T90" s="48" t="str">
        <f t="shared" si="4"/>
        <v/>
      </c>
      <c r="U90" s="42" t="str" cm="1">
        <f t="array" ref="U90">_xlfn.IFS(OR(Q90="", T90="", Q90=0, "", T90=0), "", AND(T90&lt;=Q90,D90&lt;=Q90), "Y", OR(T90&gt;Q90,D90&gt;Q90), "N")</f>
        <v/>
      </c>
      <c r="V90" s="62"/>
      <c r="W90" s="63"/>
    </row>
    <row r="91" spans="1:23" x14ac:dyDescent="0.25">
      <c r="A91" s="58"/>
      <c r="B91" s="59"/>
      <c r="C91" s="59"/>
      <c r="D91" s="60"/>
      <c r="E91" s="59"/>
      <c r="F91" s="59"/>
      <c r="G91" s="60"/>
      <c r="H91" s="43" t="str" cm="1">
        <f t="array" ref="H91">IF(OR(F91="", G91=""), "",
  _xlfn.LET(
    _xlpm.rowIndex, MATCH(F91, INDEX(IncomeTable,,1), 0),
    _xlpm.thresholds, INDEX(IncomeTable, _xlpm.rowIndex, 2):INDEX(IncomeTable, _xlpm.rowIndex, 8),
    _xlpm.labels, {20,30,40,50,60,70,80},
    _xlpm.income, G91,
    IF(_xlpm.income &lt; INDEX(_xlpm.thresholds,1), "Below 20%",
      IF(_xlpm.income &gt; INDEX(_xlpm.thresholds,7), "Above 80%",
        INDEX(_xlpm.labels, _xlfn.XLOOKUP(_xlpm.income, _xlpm.thresholds, _xlfn.SEQUENCE(1,7), , -1))
      )
    )
  )
)</f>
        <v/>
      </c>
      <c r="I91" s="42" t="str">
        <f t="shared" si="6"/>
        <v/>
      </c>
      <c r="J91" s="61"/>
      <c r="K91" s="61"/>
      <c r="L91" s="61"/>
      <c r="M91" s="61"/>
      <c r="N91" s="47" t="str">
        <f t="shared" si="5"/>
        <v/>
      </c>
      <c r="O91" s="48" t="str">
        <f>IF(OR(C91="", B91=""), "",
  INDEX(RentTable, MATCH(B91, {0,1,2,3,4}, 0), MATCH(C91, {20,30,40,50,60,70,80}, 1))
)</f>
        <v/>
      </c>
      <c r="P91" s="60"/>
      <c r="Q91" s="48" t="str">
        <f t="shared" si="7"/>
        <v/>
      </c>
      <c r="R91" s="60"/>
      <c r="S91" s="60"/>
      <c r="T91" s="48" t="str">
        <f t="shared" si="4"/>
        <v/>
      </c>
      <c r="U91" s="42" t="str" cm="1">
        <f t="array" ref="U91">_xlfn.IFS(OR(Q91="", T91="", Q91=0, "", T91=0), "", AND(T91&lt;=Q91,D91&lt;=Q91), "Y", OR(T91&gt;Q91,D91&gt;Q91), "N")</f>
        <v/>
      </c>
      <c r="V91" s="62"/>
      <c r="W91" s="63"/>
    </row>
    <row r="92" spans="1:23" x14ac:dyDescent="0.25">
      <c r="A92" s="58"/>
      <c r="B92" s="59"/>
      <c r="C92" s="59"/>
      <c r="D92" s="60"/>
      <c r="E92" s="59"/>
      <c r="F92" s="59"/>
      <c r="G92" s="60"/>
      <c r="H92" s="43" t="str" cm="1">
        <f t="array" ref="H92">IF(OR(F92="", G92=""), "",
  _xlfn.LET(
    _xlpm.rowIndex, MATCH(F92, INDEX(IncomeTable,,1), 0),
    _xlpm.thresholds, INDEX(IncomeTable, _xlpm.rowIndex, 2):INDEX(IncomeTable, _xlpm.rowIndex, 8),
    _xlpm.labels, {20,30,40,50,60,70,80},
    _xlpm.income, G92,
    IF(_xlpm.income &lt; INDEX(_xlpm.thresholds,1), "Below 20%",
      IF(_xlpm.income &gt; INDEX(_xlpm.thresholds,7), "Above 80%",
        INDEX(_xlpm.labels, _xlfn.XLOOKUP(_xlpm.income, _xlpm.thresholds, _xlfn.SEQUENCE(1,7), , -1))
      )
    )
  )
)</f>
        <v/>
      </c>
      <c r="I92" s="42" t="str">
        <f t="shared" si="6"/>
        <v/>
      </c>
      <c r="J92" s="61"/>
      <c r="K92" s="61"/>
      <c r="L92" s="61"/>
      <c r="M92" s="61"/>
      <c r="N92" s="47" t="str">
        <f t="shared" si="5"/>
        <v/>
      </c>
      <c r="O92" s="48" t="str">
        <f>IF(OR(C92="", B92=""), "",
  INDEX(RentTable, MATCH(B92, {0,1,2,3,4}, 0), MATCH(C92, {20,30,40,50,60,70,80}, 1))
)</f>
        <v/>
      </c>
      <c r="P92" s="60"/>
      <c r="Q92" s="48" t="str">
        <f t="shared" si="7"/>
        <v/>
      </c>
      <c r="R92" s="60"/>
      <c r="S92" s="60"/>
      <c r="T92" s="48" t="str">
        <f t="shared" si="4"/>
        <v/>
      </c>
      <c r="U92" s="42" t="str" cm="1">
        <f t="array" ref="U92">_xlfn.IFS(OR(Q92="", T92="", Q92=0, "", T92=0), "", AND(T92&lt;=Q92,D92&lt;=Q92), "Y", OR(T92&gt;Q92,D92&gt;Q92), "N")</f>
        <v/>
      </c>
      <c r="V92" s="62"/>
      <c r="W92" s="63"/>
    </row>
    <row r="93" spans="1:23" x14ac:dyDescent="0.25">
      <c r="A93" s="58"/>
      <c r="B93" s="59"/>
      <c r="C93" s="59"/>
      <c r="D93" s="60"/>
      <c r="E93" s="59"/>
      <c r="F93" s="59"/>
      <c r="G93" s="60"/>
      <c r="H93" s="43" t="str" cm="1">
        <f t="array" ref="H93">IF(OR(F93="", G93=""), "",
  _xlfn.LET(
    _xlpm.rowIndex, MATCH(F93, INDEX(IncomeTable,,1), 0),
    _xlpm.thresholds, INDEX(IncomeTable, _xlpm.rowIndex, 2):INDEX(IncomeTable, _xlpm.rowIndex, 8),
    _xlpm.labels, {20,30,40,50,60,70,80},
    _xlpm.income, G93,
    IF(_xlpm.income &lt; INDEX(_xlpm.thresholds,1), "Below 20%",
      IF(_xlpm.income &gt; INDEX(_xlpm.thresholds,7), "Above 80%",
        INDEX(_xlpm.labels, _xlfn.XLOOKUP(_xlpm.income, _xlpm.thresholds, _xlfn.SEQUENCE(1,7), , -1))
      )
    )
  )
)</f>
        <v/>
      </c>
      <c r="I93" s="42" t="str">
        <f t="shared" si="6"/>
        <v/>
      </c>
      <c r="J93" s="61"/>
      <c r="K93" s="61"/>
      <c r="L93" s="61"/>
      <c r="M93" s="61"/>
      <c r="N93" s="47" t="str">
        <f t="shared" si="5"/>
        <v/>
      </c>
      <c r="O93" s="48" t="str">
        <f>IF(OR(C93="", B93=""), "",
  INDEX(RentTable, MATCH(B93, {0,1,2,3,4}, 0), MATCH(C93, {20,30,40,50,60,70,80}, 1))
)</f>
        <v/>
      </c>
      <c r="P93" s="60"/>
      <c r="Q93" s="48" t="str">
        <f t="shared" si="7"/>
        <v/>
      </c>
      <c r="R93" s="60"/>
      <c r="S93" s="60"/>
      <c r="T93" s="48" t="str">
        <f t="shared" si="4"/>
        <v/>
      </c>
      <c r="U93" s="42" t="str" cm="1">
        <f t="array" ref="U93">_xlfn.IFS(OR(Q93="", T93="", Q93=0, "", T93=0), "", AND(T93&lt;=Q93,D93&lt;=Q93), "Y", OR(T93&gt;Q93,D93&gt;Q93), "N")</f>
        <v/>
      </c>
      <c r="V93" s="62"/>
      <c r="W93" s="63"/>
    </row>
    <row r="94" spans="1:23" x14ac:dyDescent="0.25">
      <c r="A94" s="58"/>
      <c r="B94" s="59"/>
      <c r="C94" s="59"/>
      <c r="D94" s="60"/>
      <c r="E94" s="59"/>
      <c r="F94" s="59"/>
      <c r="G94" s="60"/>
      <c r="H94" s="43" t="str" cm="1">
        <f t="array" ref="H94">IF(OR(F94="", G94=""), "",
  _xlfn.LET(
    _xlpm.rowIndex, MATCH(F94, INDEX(IncomeTable,,1), 0),
    _xlpm.thresholds, INDEX(IncomeTable, _xlpm.rowIndex, 2):INDEX(IncomeTable, _xlpm.rowIndex, 8),
    _xlpm.labels, {20,30,40,50,60,70,80},
    _xlpm.income, G94,
    IF(_xlpm.income &lt; INDEX(_xlpm.thresholds,1), "Below 20%",
      IF(_xlpm.income &gt; INDEX(_xlpm.thresholds,7), "Above 80%",
        INDEX(_xlpm.labels, _xlfn.XLOOKUP(_xlpm.income, _xlpm.thresholds, _xlfn.SEQUENCE(1,7), , -1))
      )
    )
  )
)</f>
        <v/>
      </c>
      <c r="I94" s="42" t="str">
        <f t="shared" si="6"/>
        <v/>
      </c>
      <c r="J94" s="61"/>
      <c r="K94" s="61"/>
      <c r="L94" s="61"/>
      <c r="M94" s="61"/>
      <c r="N94" s="47" t="str">
        <f t="shared" si="5"/>
        <v/>
      </c>
      <c r="O94" s="48" t="str">
        <f>IF(OR(C94="", B94=""), "",
  INDEX(RentTable, MATCH(B94, {0,1,2,3,4}, 0), MATCH(C94, {20,30,40,50,60,70,80}, 1))
)</f>
        <v/>
      </c>
      <c r="P94" s="60"/>
      <c r="Q94" s="48" t="str">
        <f t="shared" si="7"/>
        <v/>
      </c>
      <c r="R94" s="60"/>
      <c r="S94" s="60"/>
      <c r="T94" s="48" t="str">
        <f t="shared" si="4"/>
        <v/>
      </c>
      <c r="U94" s="42" t="str" cm="1">
        <f t="array" ref="U94">_xlfn.IFS(OR(Q94="", T94="", Q94=0, "", T94=0), "", AND(T94&lt;=Q94,D94&lt;=Q94), "Y", OR(T94&gt;Q94,D94&gt;Q94), "N")</f>
        <v/>
      </c>
      <c r="V94" s="62"/>
      <c r="W94" s="63"/>
    </row>
    <row r="95" spans="1:23" x14ac:dyDescent="0.25">
      <c r="A95" s="58"/>
      <c r="B95" s="59"/>
      <c r="C95" s="59"/>
      <c r="D95" s="60"/>
      <c r="E95" s="59"/>
      <c r="F95" s="59"/>
      <c r="G95" s="60"/>
      <c r="H95" s="43" t="str" cm="1">
        <f t="array" ref="H95">IF(OR(F95="", G95=""), "",
  _xlfn.LET(
    _xlpm.rowIndex, MATCH(F95, INDEX(IncomeTable,,1), 0),
    _xlpm.thresholds, INDEX(IncomeTable, _xlpm.rowIndex, 2):INDEX(IncomeTable, _xlpm.rowIndex, 8),
    _xlpm.labels, {20,30,40,50,60,70,80},
    _xlpm.income, G95,
    IF(_xlpm.income &lt; INDEX(_xlpm.thresholds,1), "Below 20%",
      IF(_xlpm.income &gt; INDEX(_xlpm.thresholds,7), "Above 80%",
        INDEX(_xlpm.labels, _xlfn.XLOOKUP(_xlpm.income, _xlpm.thresholds, _xlfn.SEQUENCE(1,7), , -1))
      )
    )
  )
)</f>
        <v/>
      </c>
      <c r="I95" s="42" t="str">
        <f t="shared" si="6"/>
        <v/>
      </c>
      <c r="J95" s="61"/>
      <c r="K95" s="61"/>
      <c r="L95" s="61"/>
      <c r="M95" s="61"/>
      <c r="N95" s="47" t="str">
        <f t="shared" si="5"/>
        <v/>
      </c>
      <c r="O95" s="48" t="str">
        <f>IF(OR(C95="", B95=""), "",
  INDEX(RentTable, MATCH(B95, {0,1,2,3,4}, 0), MATCH(C95, {20,30,40,50,60,70,80}, 1))
)</f>
        <v/>
      </c>
      <c r="P95" s="60"/>
      <c r="Q95" s="48" t="str">
        <f t="shared" si="7"/>
        <v/>
      </c>
      <c r="R95" s="60"/>
      <c r="S95" s="60"/>
      <c r="T95" s="48" t="str">
        <f t="shared" si="4"/>
        <v/>
      </c>
      <c r="U95" s="42" t="str" cm="1">
        <f t="array" ref="U95">_xlfn.IFS(OR(Q95="", T95="", Q95=0, "", T95=0), "", AND(T95&lt;=Q95,D95&lt;=Q95), "Y", OR(T95&gt;Q95,D95&gt;Q95), "N")</f>
        <v/>
      </c>
      <c r="V95" s="62"/>
      <c r="W95" s="63"/>
    </row>
    <row r="96" spans="1:23" x14ac:dyDescent="0.25">
      <c r="A96" s="58"/>
      <c r="B96" s="59"/>
      <c r="C96" s="59"/>
      <c r="D96" s="60"/>
      <c r="E96" s="59"/>
      <c r="F96" s="59"/>
      <c r="G96" s="60"/>
      <c r="H96" s="43" t="str" cm="1">
        <f t="array" ref="H96">IF(OR(F96="", G96=""), "",
  _xlfn.LET(
    _xlpm.rowIndex, MATCH(F96, INDEX(IncomeTable,,1), 0),
    _xlpm.thresholds, INDEX(IncomeTable, _xlpm.rowIndex, 2):INDEX(IncomeTable, _xlpm.rowIndex, 8),
    _xlpm.labels, {20,30,40,50,60,70,80},
    _xlpm.income, G96,
    IF(_xlpm.income &lt; INDEX(_xlpm.thresholds,1), "Below 20%",
      IF(_xlpm.income &gt; INDEX(_xlpm.thresholds,7), "Above 80%",
        INDEX(_xlpm.labels, _xlfn.XLOOKUP(_xlpm.income, _xlpm.thresholds, _xlfn.SEQUENCE(1,7), , -1))
      )
    )
  )
)</f>
        <v/>
      </c>
      <c r="I96" s="42" t="str">
        <f t="shared" si="6"/>
        <v/>
      </c>
      <c r="J96" s="61"/>
      <c r="K96" s="61"/>
      <c r="L96" s="61"/>
      <c r="M96" s="61"/>
      <c r="N96" s="47" t="str">
        <f t="shared" si="5"/>
        <v/>
      </c>
      <c r="O96" s="48" t="str">
        <f>IF(OR(C96="", B96=""), "",
  INDEX(RentTable, MATCH(B96, {0,1,2,3,4}, 0), MATCH(C96, {20,30,40,50,60,70,80}, 1))
)</f>
        <v/>
      </c>
      <c r="P96" s="60"/>
      <c r="Q96" s="48" t="str">
        <f t="shared" si="7"/>
        <v/>
      </c>
      <c r="R96" s="60"/>
      <c r="S96" s="60"/>
      <c r="T96" s="48" t="str">
        <f t="shared" si="4"/>
        <v/>
      </c>
      <c r="U96" s="42" t="str" cm="1">
        <f t="array" ref="U96">_xlfn.IFS(OR(Q96="", T96="", Q96=0, "", T96=0), "", AND(T96&lt;=Q96,D96&lt;=Q96), "Y", OR(T96&gt;Q96,D96&gt;Q96), "N")</f>
        <v/>
      </c>
      <c r="V96" s="62"/>
      <c r="W96" s="63"/>
    </row>
    <row r="97" spans="1:23" x14ac:dyDescent="0.25">
      <c r="A97" s="58"/>
      <c r="B97" s="59"/>
      <c r="C97" s="59"/>
      <c r="D97" s="60"/>
      <c r="E97" s="59"/>
      <c r="F97" s="59"/>
      <c r="G97" s="60"/>
      <c r="H97" s="43" t="str" cm="1">
        <f t="array" ref="H97">IF(OR(F97="", G97=""), "",
  _xlfn.LET(
    _xlpm.rowIndex, MATCH(F97, INDEX(IncomeTable,,1), 0),
    _xlpm.thresholds, INDEX(IncomeTable, _xlpm.rowIndex, 2):INDEX(IncomeTable, _xlpm.rowIndex, 8),
    _xlpm.labels, {20,30,40,50,60,70,80},
    _xlpm.income, G97,
    IF(_xlpm.income &lt; INDEX(_xlpm.thresholds,1), "Below 20%",
      IF(_xlpm.income &gt; INDEX(_xlpm.thresholds,7), "Above 80%",
        INDEX(_xlpm.labels, _xlfn.XLOOKUP(_xlpm.income, _xlpm.thresholds, _xlfn.SEQUENCE(1,7), , -1))
      )
    )
  )
)</f>
        <v/>
      </c>
      <c r="I97" s="42" t="str">
        <f t="shared" si="6"/>
        <v/>
      </c>
      <c r="J97" s="61"/>
      <c r="K97" s="61"/>
      <c r="L97" s="61"/>
      <c r="M97" s="61"/>
      <c r="N97" s="47" t="str">
        <f t="shared" si="5"/>
        <v/>
      </c>
      <c r="O97" s="48" t="str">
        <f>IF(OR(C97="", B97=""), "",
  INDEX(RentTable, MATCH(B97, {0,1,2,3,4}, 0), MATCH(C97, {20,30,40,50,60,70,80}, 1))
)</f>
        <v/>
      </c>
      <c r="P97" s="60"/>
      <c r="Q97" s="48" t="str">
        <f t="shared" si="7"/>
        <v/>
      </c>
      <c r="R97" s="60"/>
      <c r="S97" s="60"/>
      <c r="T97" s="48" t="str">
        <f t="shared" si="4"/>
        <v/>
      </c>
      <c r="U97" s="42" t="str" cm="1">
        <f t="array" ref="U97">_xlfn.IFS(OR(Q97="", T97="", Q97=0, "", T97=0), "", AND(T97&lt;=Q97,D97&lt;=Q97), "Y", OR(T97&gt;Q97,D97&gt;Q97), "N")</f>
        <v/>
      </c>
      <c r="V97" s="62"/>
      <c r="W97" s="63"/>
    </row>
    <row r="98" spans="1:23" x14ac:dyDescent="0.25">
      <c r="A98" s="58"/>
      <c r="B98" s="59"/>
      <c r="C98" s="59"/>
      <c r="D98" s="60"/>
      <c r="E98" s="59"/>
      <c r="F98" s="59"/>
      <c r="G98" s="60"/>
      <c r="H98" s="43" t="str" cm="1">
        <f t="array" ref="H98">IF(OR(F98="", G98=""), "",
  _xlfn.LET(
    _xlpm.rowIndex, MATCH(F98, INDEX(IncomeTable,,1), 0),
    _xlpm.thresholds, INDEX(IncomeTable, _xlpm.rowIndex, 2):INDEX(IncomeTable, _xlpm.rowIndex, 8),
    _xlpm.labels, {20,30,40,50,60,70,80},
    _xlpm.income, G98,
    IF(_xlpm.income &lt; INDEX(_xlpm.thresholds,1), "Below 20%",
      IF(_xlpm.income &gt; INDEX(_xlpm.thresholds,7), "Above 80%",
        INDEX(_xlpm.labels, _xlfn.XLOOKUP(_xlpm.income, _xlpm.thresholds, _xlfn.SEQUENCE(1,7), , -1))
      )
    )
  )
)</f>
        <v/>
      </c>
      <c r="I98" s="42" t="str">
        <f t="shared" si="6"/>
        <v/>
      </c>
      <c r="J98" s="61"/>
      <c r="K98" s="61"/>
      <c r="L98" s="61"/>
      <c r="M98" s="61"/>
      <c r="N98" s="47" t="str">
        <f t="shared" si="5"/>
        <v/>
      </c>
      <c r="O98" s="48" t="str">
        <f>IF(OR(C98="", B98=""), "",
  INDEX(RentTable, MATCH(B98, {0,1,2,3,4}, 0), MATCH(C98, {20,30,40,50,60,70,80}, 1))
)</f>
        <v/>
      </c>
      <c r="P98" s="60"/>
      <c r="Q98" s="48" t="str">
        <f t="shared" si="7"/>
        <v/>
      </c>
      <c r="R98" s="60"/>
      <c r="S98" s="60"/>
      <c r="T98" s="48" t="str">
        <f t="shared" si="4"/>
        <v/>
      </c>
      <c r="U98" s="42" t="str" cm="1">
        <f t="array" ref="U98">_xlfn.IFS(OR(Q98="", T98="", Q98=0, "", T98=0), "", AND(T98&lt;=Q98,D98&lt;=Q98), "Y", OR(T98&gt;Q98,D98&gt;Q98), "N")</f>
        <v/>
      </c>
      <c r="V98" s="62"/>
      <c r="W98" s="63"/>
    </row>
    <row r="99" spans="1:23" x14ac:dyDescent="0.25">
      <c r="A99" s="58"/>
      <c r="B99" s="59"/>
      <c r="C99" s="59"/>
      <c r="D99" s="60"/>
      <c r="E99" s="59"/>
      <c r="F99" s="59"/>
      <c r="G99" s="60"/>
      <c r="H99" s="43" t="str" cm="1">
        <f t="array" ref="H99">IF(OR(F99="", G99=""), "",
  _xlfn.LET(
    _xlpm.rowIndex, MATCH(F99, INDEX(IncomeTable,,1), 0),
    _xlpm.thresholds, INDEX(IncomeTable, _xlpm.rowIndex, 2):INDEX(IncomeTable, _xlpm.rowIndex, 8),
    _xlpm.labels, {20,30,40,50,60,70,80},
    _xlpm.income, G99,
    IF(_xlpm.income &lt; INDEX(_xlpm.thresholds,1), "Below 20%",
      IF(_xlpm.income &gt; INDEX(_xlpm.thresholds,7), "Above 80%",
        INDEX(_xlpm.labels, _xlfn.XLOOKUP(_xlpm.income, _xlpm.thresholds, _xlfn.SEQUENCE(1,7), , -1))
      )
    )
  )
)</f>
        <v/>
      </c>
      <c r="I99" s="42" t="str">
        <f t="shared" si="6"/>
        <v/>
      </c>
      <c r="J99" s="61"/>
      <c r="K99" s="61"/>
      <c r="L99" s="61"/>
      <c r="M99" s="61"/>
      <c r="N99" s="47" t="str">
        <f t="shared" si="5"/>
        <v/>
      </c>
      <c r="O99" s="48" t="str">
        <f>IF(OR(C99="", B99=""), "",
  INDEX(RentTable, MATCH(B99, {0,1,2,3,4}, 0), MATCH(C99, {20,30,40,50,60,70,80}, 1))
)</f>
        <v/>
      </c>
      <c r="P99" s="60"/>
      <c r="Q99" s="48" t="str">
        <f t="shared" si="7"/>
        <v/>
      </c>
      <c r="R99" s="60"/>
      <c r="S99" s="60"/>
      <c r="T99" s="48" t="str">
        <f t="shared" si="4"/>
        <v/>
      </c>
      <c r="U99" s="42" t="str" cm="1">
        <f t="array" ref="U99">_xlfn.IFS(OR(Q99="", T99="", Q99=0, "", T99=0), "", AND(T99&lt;=Q99,D99&lt;=Q99), "Y", OR(T99&gt;Q99,D99&gt;Q99), "N")</f>
        <v/>
      </c>
      <c r="V99" s="62"/>
      <c r="W99" s="63"/>
    </row>
    <row r="100" spans="1:23" x14ac:dyDescent="0.25">
      <c r="A100" s="58"/>
      <c r="B100" s="59"/>
      <c r="C100" s="59"/>
      <c r="D100" s="60"/>
      <c r="E100" s="59"/>
      <c r="F100" s="59"/>
      <c r="G100" s="60"/>
      <c r="H100" s="43" t="str" cm="1">
        <f t="array" ref="H100">IF(OR(F100="", G100=""), "",
  _xlfn.LET(
    _xlpm.rowIndex, MATCH(F100, INDEX(IncomeTable,,1), 0),
    _xlpm.thresholds, INDEX(IncomeTable, _xlpm.rowIndex, 2):INDEX(IncomeTable, _xlpm.rowIndex, 8),
    _xlpm.labels, {20,30,40,50,60,70,80},
    _xlpm.income, G100,
    IF(_xlpm.income &lt; INDEX(_xlpm.thresholds,1), "Below 20%",
      IF(_xlpm.income &gt; INDEX(_xlpm.thresholds,7), "Above 80%",
        INDEX(_xlpm.labels, _xlfn.XLOOKUP(_xlpm.income, _xlpm.thresholds, _xlfn.SEQUENCE(1,7), , -1))
      )
    )
  )
)</f>
        <v/>
      </c>
      <c r="I100" s="42" t="str">
        <f t="shared" si="6"/>
        <v/>
      </c>
      <c r="J100" s="61"/>
      <c r="K100" s="61"/>
      <c r="L100" s="61"/>
      <c r="M100" s="61"/>
      <c r="N100" s="47" t="str">
        <f t="shared" si="5"/>
        <v/>
      </c>
      <c r="O100" s="48" t="str">
        <f>IF(OR(C100="", B100=""), "",
  INDEX(RentTable, MATCH(B100, {0,1,2,3,4}, 0), MATCH(C100, {20,30,40,50,60,70,80}, 1))
)</f>
        <v/>
      </c>
      <c r="P100" s="60"/>
      <c r="Q100" s="48" t="str">
        <f t="shared" si="7"/>
        <v/>
      </c>
      <c r="R100" s="60"/>
      <c r="S100" s="60"/>
      <c r="T100" s="48" t="str">
        <f t="shared" si="4"/>
        <v/>
      </c>
      <c r="U100" s="42" t="str" cm="1">
        <f t="array" ref="U100">_xlfn.IFS(OR(Q100="", T100="", Q100=0, "", T100=0), "", AND(T100&lt;=Q100,D100&lt;=Q100), "Y", OR(T100&gt;Q100,D100&gt;Q100), "N")</f>
        <v/>
      </c>
      <c r="V100" s="62"/>
      <c r="W100" s="63"/>
    </row>
    <row r="101" spans="1:23" x14ac:dyDescent="0.25">
      <c r="A101" s="58"/>
      <c r="B101" s="59"/>
      <c r="C101" s="59"/>
      <c r="D101" s="60"/>
      <c r="E101" s="59"/>
      <c r="F101" s="59"/>
      <c r="G101" s="60"/>
      <c r="H101" s="43" t="str" cm="1">
        <f t="array" ref="H101">IF(OR(F101="", G101=""), "",
  _xlfn.LET(
    _xlpm.rowIndex, MATCH(F101, INDEX(IncomeTable,,1), 0),
    _xlpm.thresholds, INDEX(IncomeTable, _xlpm.rowIndex, 2):INDEX(IncomeTable, _xlpm.rowIndex, 8),
    _xlpm.labels, {20,30,40,50,60,70,80},
    _xlpm.income, G101,
    IF(_xlpm.income &lt; INDEX(_xlpm.thresholds,1), "Below 20%",
      IF(_xlpm.income &gt; INDEX(_xlpm.thresholds,7), "Above 80%",
        INDEX(_xlpm.labels, _xlfn.XLOOKUP(_xlpm.income, _xlpm.thresholds, _xlfn.SEQUENCE(1,7), , -1))
      )
    )
  )
)</f>
        <v/>
      </c>
      <c r="I101" s="42" t="str">
        <f t="shared" si="6"/>
        <v/>
      </c>
      <c r="J101" s="61"/>
      <c r="K101" s="61"/>
      <c r="L101" s="61"/>
      <c r="M101" s="61"/>
      <c r="N101" s="47" t="str">
        <f t="shared" si="5"/>
        <v/>
      </c>
      <c r="O101" s="48" t="str">
        <f>IF(OR(C101="", B101=""), "",
  INDEX(RentTable, MATCH(B101, {0,1,2,3,4}, 0), MATCH(C101, {20,30,40,50,60,70,80}, 1))
)</f>
        <v/>
      </c>
      <c r="P101" s="60"/>
      <c r="Q101" s="48" t="str">
        <f t="shared" si="7"/>
        <v/>
      </c>
      <c r="R101" s="60"/>
      <c r="S101" s="60"/>
      <c r="T101" s="48" t="str">
        <f t="shared" si="4"/>
        <v/>
      </c>
      <c r="U101" s="42" t="str" cm="1">
        <f t="array" ref="U101">_xlfn.IFS(OR(Q101="", T101="", Q101=0, "", T101=0), "", AND(T101&lt;=Q101,D101&lt;=Q101), "Y", OR(T101&gt;Q101,D101&gt;Q101), "N")</f>
        <v/>
      </c>
      <c r="V101" s="62"/>
      <c r="W101" s="63"/>
    </row>
    <row r="102" spans="1:23" x14ac:dyDescent="0.25">
      <c r="A102" s="58"/>
      <c r="B102" s="59"/>
      <c r="C102" s="59"/>
      <c r="D102" s="60"/>
      <c r="E102" s="59"/>
      <c r="F102" s="59"/>
      <c r="G102" s="60"/>
      <c r="H102" s="43" t="str" cm="1">
        <f t="array" ref="H102">IF(OR(F102="", G102=""), "",
  _xlfn.LET(
    _xlpm.rowIndex, MATCH(F102, INDEX(IncomeTable,,1), 0),
    _xlpm.thresholds, INDEX(IncomeTable, _xlpm.rowIndex, 2):INDEX(IncomeTable, _xlpm.rowIndex, 8),
    _xlpm.labels, {20,30,40,50,60,70,80},
    _xlpm.income, G102,
    IF(_xlpm.income &lt; INDEX(_xlpm.thresholds,1), "Below 20%",
      IF(_xlpm.income &gt; INDEX(_xlpm.thresholds,7), "Above 80%",
        INDEX(_xlpm.labels, _xlfn.XLOOKUP(_xlpm.income, _xlpm.thresholds, _xlfn.SEQUENCE(1,7), , -1))
      )
    )
  )
)</f>
        <v/>
      </c>
      <c r="I102" s="42" t="str">
        <f t="shared" si="6"/>
        <v/>
      </c>
      <c r="J102" s="61"/>
      <c r="K102" s="61"/>
      <c r="L102" s="61"/>
      <c r="M102" s="61"/>
      <c r="N102" s="47" t="str">
        <f t="shared" si="5"/>
        <v/>
      </c>
      <c r="O102" s="48" t="str">
        <f>IF(OR(C102="", B102=""), "",
  INDEX(RentTable, MATCH(B102, {0,1,2,3,4}, 0), MATCH(C102, {20,30,40,50,60,70,80}, 1))
)</f>
        <v/>
      </c>
      <c r="P102" s="60"/>
      <c r="Q102" s="48" t="str">
        <f t="shared" si="7"/>
        <v/>
      </c>
      <c r="R102" s="60"/>
      <c r="S102" s="60"/>
      <c r="T102" s="48" t="str">
        <f t="shared" si="4"/>
        <v/>
      </c>
      <c r="U102" s="42" t="str" cm="1">
        <f t="array" ref="U102">_xlfn.IFS(OR(Q102="", T102="", Q102=0, "", T102=0), "", AND(T102&lt;=Q102,D102&lt;=Q102), "Y", OR(T102&gt;Q102,D102&gt;Q102), "N")</f>
        <v/>
      </c>
      <c r="V102" s="62"/>
      <c r="W102" s="63"/>
    </row>
    <row r="103" spans="1:23" x14ac:dyDescent="0.25">
      <c r="A103" s="58"/>
      <c r="B103" s="59"/>
      <c r="C103" s="59"/>
      <c r="D103" s="60"/>
      <c r="E103" s="59"/>
      <c r="F103" s="59"/>
      <c r="G103" s="60"/>
      <c r="H103" s="43" t="str" cm="1">
        <f t="array" ref="H103">IF(OR(F103="", G103=""), "",
  _xlfn.LET(
    _xlpm.rowIndex, MATCH(F103, INDEX(IncomeTable,,1), 0),
    _xlpm.thresholds, INDEX(IncomeTable, _xlpm.rowIndex, 2):INDEX(IncomeTable, _xlpm.rowIndex, 8),
    _xlpm.labels, {20,30,40,50,60,70,80},
    _xlpm.income, G103,
    IF(_xlpm.income &lt; INDEX(_xlpm.thresholds,1), "Below 20%",
      IF(_xlpm.income &gt; INDEX(_xlpm.thresholds,7), "Above 80%",
        INDEX(_xlpm.labels, _xlfn.XLOOKUP(_xlpm.income, _xlpm.thresholds, _xlfn.SEQUENCE(1,7), , -1))
      )
    )
  )
)</f>
        <v/>
      </c>
      <c r="I103" s="42" t="str">
        <f t="shared" si="6"/>
        <v/>
      </c>
      <c r="J103" s="61"/>
      <c r="K103" s="61"/>
      <c r="L103" s="61"/>
      <c r="M103" s="61"/>
      <c r="N103" s="47" t="str">
        <f t="shared" si="5"/>
        <v/>
      </c>
      <c r="O103" s="48" t="str">
        <f>IF(OR(C103="", B103=""), "",
  INDEX(RentTable, MATCH(B103, {0,1,2,3,4}, 0), MATCH(C103, {20,30,40,50,60,70,80}, 1))
)</f>
        <v/>
      </c>
      <c r="P103" s="60"/>
      <c r="Q103" s="48" t="str">
        <f t="shared" si="7"/>
        <v/>
      </c>
      <c r="R103" s="60"/>
      <c r="S103" s="60"/>
      <c r="T103" s="48" t="str">
        <f t="shared" si="4"/>
        <v/>
      </c>
      <c r="U103" s="42" t="str" cm="1">
        <f t="array" ref="U103">_xlfn.IFS(OR(Q103="", T103="", Q103=0, "", T103=0), "", AND(T103&lt;=Q103,D103&lt;=Q103), "Y", OR(T103&gt;Q103,D103&gt;Q103), "N")</f>
        <v/>
      </c>
      <c r="V103" s="62"/>
      <c r="W103" s="63"/>
    </row>
    <row r="104" spans="1:23" x14ac:dyDescent="0.25">
      <c r="A104" s="58"/>
      <c r="B104" s="59"/>
      <c r="C104" s="59"/>
      <c r="D104" s="60"/>
      <c r="E104" s="59"/>
      <c r="F104" s="59"/>
      <c r="G104" s="60"/>
      <c r="H104" s="43" t="str" cm="1">
        <f t="array" ref="H104">IF(OR(F104="", G104=""), "",
  _xlfn.LET(
    _xlpm.rowIndex, MATCH(F104, INDEX(IncomeTable,,1), 0),
    _xlpm.thresholds, INDEX(IncomeTable, _xlpm.rowIndex, 2):INDEX(IncomeTable, _xlpm.rowIndex, 8),
    _xlpm.labels, {20,30,40,50,60,70,80},
    _xlpm.income, G104,
    IF(_xlpm.income &lt; INDEX(_xlpm.thresholds,1), "Below 20%",
      IF(_xlpm.income &gt; INDEX(_xlpm.thresholds,7), "Above 80%",
        INDEX(_xlpm.labels, _xlfn.XLOOKUP(_xlpm.income, _xlpm.thresholds, _xlfn.SEQUENCE(1,7), , -1))
      )
    )
  )
)</f>
        <v/>
      </c>
      <c r="I104" s="42" t="str">
        <f t="shared" si="6"/>
        <v/>
      </c>
      <c r="J104" s="61"/>
      <c r="K104" s="61"/>
      <c r="L104" s="61"/>
      <c r="M104" s="61"/>
      <c r="N104" s="47" t="str">
        <f t="shared" si="5"/>
        <v/>
      </c>
      <c r="O104" s="48" t="str">
        <f>IF(OR(C104="", B104=""), "",
  INDEX(RentTable, MATCH(B104, {0,1,2,3,4}, 0), MATCH(C104, {20,30,40,50,60,70,80}, 1))
)</f>
        <v/>
      </c>
      <c r="P104" s="60"/>
      <c r="Q104" s="48" t="str">
        <f t="shared" si="7"/>
        <v/>
      </c>
      <c r="R104" s="60"/>
      <c r="S104" s="60"/>
      <c r="T104" s="48" t="str">
        <f t="shared" si="4"/>
        <v/>
      </c>
      <c r="U104" s="42" t="str" cm="1">
        <f t="array" ref="U104">_xlfn.IFS(OR(Q104="", T104="", Q104=0, "", T104=0), "", AND(T104&lt;=Q104,D104&lt;=Q104), "Y", OR(T104&gt;Q104,D104&gt;Q104), "N")</f>
        <v/>
      </c>
      <c r="V104" s="62"/>
      <c r="W104" s="63"/>
    </row>
    <row r="105" spans="1:23" x14ac:dyDescent="0.25">
      <c r="A105" s="58"/>
      <c r="B105" s="59"/>
      <c r="C105" s="59"/>
      <c r="D105" s="60"/>
      <c r="E105" s="59"/>
      <c r="F105" s="59"/>
      <c r="G105" s="60"/>
      <c r="H105" s="43" t="str" cm="1">
        <f t="array" ref="H105">IF(OR(F105="", G105=""), "",
  _xlfn.LET(
    _xlpm.rowIndex, MATCH(F105, INDEX(IncomeTable,,1), 0),
    _xlpm.thresholds, INDEX(IncomeTable, _xlpm.rowIndex, 2):INDEX(IncomeTable, _xlpm.rowIndex, 8),
    _xlpm.labels, {20,30,40,50,60,70,80},
    _xlpm.income, G105,
    IF(_xlpm.income &lt; INDEX(_xlpm.thresholds,1), "Below 20%",
      IF(_xlpm.income &gt; INDEX(_xlpm.thresholds,7), "Above 80%",
        INDEX(_xlpm.labels, _xlfn.XLOOKUP(_xlpm.income, _xlpm.thresholds, _xlfn.SEQUENCE(1,7), , -1))
      )
    )
  )
)</f>
        <v/>
      </c>
      <c r="I105" s="42" t="str">
        <f t="shared" si="6"/>
        <v/>
      </c>
      <c r="J105" s="61"/>
      <c r="K105" s="61"/>
      <c r="L105" s="61"/>
      <c r="M105" s="61"/>
      <c r="N105" s="47" t="str">
        <f t="shared" si="5"/>
        <v/>
      </c>
      <c r="O105" s="48" t="str">
        <f>IF(OR(C105="", B105=""), "",
  INDEX(RentTable, MATCH(B105, {0,1,2,3,4}, 0), MATCH(C105, {20,30,40,50,60,70,80}, 1))
)</f>
        <v/>
      </c>
      <c r="P105" s="60"/>
      <c r="Q105" s="48" t="str">
        <f t="shared" si="7"/>
        <v/>
      </c>
      <c r="R105" s="60"/>
      <c r="S105" s="60"/>
      <c r="T105" s="48" t="str">
        <f t="shared" si="4"/>
        <v/>
      </c>
      <c r="U105" s="42" t="str" cm="1">
        <f t="array" ref="U105">_xlfn.IFS(OR(Q105="", T105="", Q105=0, "", T105=0), "", AND(T105&lt;=Q105,D105&lt;=Q105), "Y", OR(T105&gt;Q105,D105&gt;Q105), "N")</f>
        <v/>
      </c>
      <c r="V105" s="62"/>
      <c r="W105" s="63"/>
    </row>
    <row r="106" spans="1:23" x14ac:dyDescent="0.25">
      <c r="A106" s="58"/>
      <c r="B106" s="59"/>
      <c r="C106" s="59"/>
      <c r="D106" s="60"/>
      <c r="E106" s="59"/>
      <c r="F106" s="59"/>
      <c r="G106" s="60"/>
      <c r="H106" s="43" t="str" cm="1">
        <f t="array" ref="H106">IF(OR(F106="", G106=""), "",
  _xlfn.LET(
    _xlpm.rowIndex, MATCH(F106, INDEX(IncomeTable,,1), 0),
    _xlpm.thresholds, INDEX(IncomeTable, _xlpm.rowIndex, 2):INDEX(IncomeTable, _xlpm.rowIndex, 8),
    _xlpm.labels, {20,30,40,50,60,70,80},
    _xlpm.income, G106,
    IF(_xlpm.income &lt; INDEX(_xlpm.thresholds,1), "Below 20%",
      IF(_xlpm.income &gt; INDEX(_xlpm.thresholds,7), "Above 80%",
        INDEX(_xlpm.labels, _xlfn.XLOOKUP(_xlpm.income, _xlpm.thresholds, _xlfn.SEQUENCE(1,7), , -1))
      )
    )
  )
)</f>
        <v/>
      </c>
      <c r="I106" s="42" t="str">
        <f t="shared" si="6"/>
        <v/>
      </c>
      <c r="J106" s="61"/>
      <c r="K106" s="61"/>
      <c r="L106" s="61"/>
      <c r="M106" s="61"/>
      <c r="N106" s="47" t="str">
        <f t="shared" si="5"/>
        <v/>
      </c>
      <c r="O106" s="48" t="str">
        <f>IF(OR(C106="", B106=""), "",
  INDEX(RentTable, MATCH(B106, {0,1,2,3,4}, 0), MATCH(C106, {20,30,40,50,60,70,80}, 1))
)</f>
        <v/>
      </c>
      <c r="P106" s="60"/>
      <c r="Q106" s="48" t="str">
        <f t="shared" si="7"/>
        <v/>
      </c>
      <c r="R106" s="60"/>
      <c r="S106" s="60"/>
      <c r="T106" s="48" t="str">
        <f t="shared" si="4"/>
        <v/>
      </c>
      <c r="U106" s="42" t="str" cm="1">
        <f t="array" ref="U106">_xlfn.IFS(OR(Q106="", T106="", Q106=0, "", T106=0), "", AND(T106&lt;=Q106,D106&lt;=Q106), "Y", OR(T106&gt;Q106,D106&gt;Q106), "N")</f>
        <v/>
      </c>
      <c r="V106" s="62"/>
      <c r="W106" s="63"/>
    </row>
    <row r="107" spans="1:23" x14ac:dyDescent="0.25">
      <c r="A107" s="58"/>
      <c r="B107" s="59"/>
      <c r="C107" s="59"/>
      <c r="D107" s="60"/>
      <c r="E107" s="59"/>
      <c r="F107" s="59"/>
      <c r="G107" s="60"/>
      <c r="H107" s="43" t="str" cm="1">
        <f t="array" ref="H107">IF(OR(F107="", G107=""), "",
  _xlfn.LET(
    _xlpm.rowIndex, MATCH(F107, INDEX(IncomeTable,,1), 0),
    _xlpm.thresholds, INDEX(IncomeTable, _xlpm.rowIndex, 2):INDEX(IncomeTable, _xlpm.rowIndex, 8),
    _xlpm.labels, {20,30,40,50,60,70,80},
    _xlpm.income, G107,
    IF(_xlpm.income &lt; INDEX(_xlpm.thresholds,1), "Below 20%",
      IF(_xlpm.income &gt; INDEX(_xlpm.thresholds,7), "Above 80%",
        INDEX(_xlpm.labels, _xlfn.XLOOKUP(_xlpm.income, _xlpm.thresholds, _xlfn.SEQUENCE(1,7), , -1))
      )
    )
  )
)</f>
        <v/>
      </c>
      <c r="I107" s="42" t="str">
        <f t="shared" si="6"/>
        <v/>
      </c>
      <c r="J107" s="61"/>
      <c r="K107" s="61"/>
      <c r="L107" s="61"/>
      <c r="M107" s="61"/>
      <c r="N107" s="47" t="str">
        <f t="shared" si="5"/>
        <v/>
      </c>
      <c r="O107" s="48" t="str">
        <f>IF(OR(C107="", B107=""), "",
  INDEX(RentTable, MATCH(B107, {0,1,2,3,4}, 0), MATCH(C107, {20,30,40,50,60,70,80}, 1))
)</f>
        <v/>
      </c>
      <c r="P107" s="60"/>
      <c r="Q107" s="48" t="str">
        <f t="shared" si="7"/>
        <v/>
      </c>
      <c r="R107" s="60"/>
      <c r="S107" s="60"/>
      <c r="T107" s="48" t="str">
        <f t="shared" si="4"/>
        <v/>
      </c>
      <c r="U107" s="42" t="str" cm="1">
        <f t="array" ref="U107">_xlfn.IFS(OR(Q107="", T107="", Q107=0, "", T107=0), "", AND(T107&lt;=Q107,D107&lt;=Q107), "Y", OR(T107&gt;Q107,D107&gt;Q107), "N")</f>
        <v/>
      </c>
      <c r="V107" s="62"/>
      <c r="W107" s="63"/>
    </row>
    <row r="108" spans="1:23" x14ac:dyDescent="0.25">
      <c r="A108" s="58"/>
      <c r="B108" s="59"/>
      <c r="C108" s="59"/>
      <c r="D108" s="60"/>
      <c r="E108" s="59"/>
      <c r="F108" s="59"/>
      <c r="G108" s="60"/>
      <c r="H108" s="43" t="str" cm="1">
        <f t="array" ref="H108">IF(OR(F108="", G108=""), "",
  _xlfn.LET(
    _xlpm.rowIndex, MATCH(F108, INDEX(IncomeTable,,1), 0),
    _xlpm.thresholds, INDEX(IncomeTable, _xlpm.rowIndex, 2):INDEX(IncomeTable, _xlpm.rowIndex, 8),
    _xlpm.labels, {20,30,40,50,60,70,80},
    _xlpm.income, G108,
    IF(_xlpm.income &lt; INDEX(_xlpm.thresholds,1), "Below 20%",
      IF(_xlpm.income &gt; INDEX(_xlpm.thresholds,7), "Above 80%",
        INDEX(_xlpm.labels, _xlfn.XLOOKUP(_xlpm.income, _xlpm.thresholds, _xlfn.SEQUENCE(1,7), , -1))
      )
    )
  )
)</f>
        <v/>
      </c>
      <c r="I108" s="42" t="str">
        <f t="shared" si="6"/>
        <v/>
      </c>
      <c r="J108" s="61"/>
      <c r="K108" s="61"/>
      <c r="L108" s="61"/>
      <c r="M108" s="61"/>
      <c r="N108" s="47" t="str">
        <f t="shared" si="5"/>
        <v/>
      </c>
      <c r="O108" s="48" t="str">
        <f>IF(OR(C108="", B108=""), "",
  INDEX(RentTable, MATCH(B108, {0,1,2,3,4}, 0), MATCH(C108, {20,30,40,50,60,70,80}, 1))
)</f>
        <v/>
      </c>
      <c r="P108" s="60"/>
      <c r="Q108" s="48" t="str">
        <f t="shared" si="7"/>
        <v/>
      </c>
      <c r="R108" s="60"/>
      <c r="S108" s="60"/>
      <c r="T108" s="48" t="str">
        <f t="shared" si="4"/>
        <v/>
      </c>
      <c r="U108" s="42" t="str" cm="1">
        <f t="array" ref="U108">_xlfn.IFS(OR(Q108="", T108="", Q108=0, "", T108=0), "", AND(T108&lt;=Q108,D108&lt;=Q108), "Y", OR(T108&gt;Q108,D108&gt;Q108), "N")</f>
        <v/>
      </c>
      <c r="V108" s="62"/>
      <c r="W108" s="63"/>
    </row>
    <row r="109" spans="1:23" x14ac:dyDescent="0.25">
      <c r="A109" s="58"/>
      <c r="B109" s="59"/>
      <c r="C109" s="59"/>
      <c r="D109" s="60"/>
      <c r="E109" s="59"/>
      <c r="F109" s="59"/>
      <c r="G109" s="60"/>
      <c r="H109" s="43" t="str" cm="1">
        <f t="array" ref="H109">IF(OR(F109="", G109=""), "",
  _xlfn.LET(
    _xlpm.rowIndex, MATCH(F109, INDEX(IncomeTable,,1), 0),
    _xlpm.thresholds, INDEX(IncomeTable, _xlpm.rowIndex, 2):INDEX(IncomeTable, _xlpm.rowIndex, 8),
    _xlpm.labels, {20,30,40,50,60,70,80},
    _xlpm.income, G109,
    IF(_xlpm.income &lt; INDEX(_xlpm.thresholds,1), "Below 20%",
      IF(_xlpm.income &gt; INDEX(_xlpm.thresholds,7), "Above 80%",
        INDEX(_xlpm.labels, _xlfn.XLOOKUP(_xlpm.income, _xlpm.thresholds, _xlfn.SEQUENCE(1,7), , -1))
      )
    )
  )
)</f>
        <v/>
      </c>
      <c r="I109" s="42" t="str">
        <f t="shared" si="6"/>
        <v/>
      </c>
      <c r="J109" s="61"/>
      <c r="K109" s="61"/>
      <c r="L109" s="61"/>
      <c r="M109" s="61"/>
      <c r="N109" s="47" t="str">
        <f t="shared" si="5"/>
        <v/>
      </c>
      <c r="O109" s="48" t="str">
        <f>IF(OR(C109="", B109=""), "",
  INDEX(RentTable, MATCH(B109, {0,1,2,3,4}, 0), MATCH(C109, {20,30,40,50,60,70,80}, 1))
)</f>
        <v/>
      </c>
      <c r="P109" s="60"/>
      <c r="Q109" s="48" t="str">
        <f t="shared" si="7"/>
        <v/>
      </c>
      <c r="R109" s="60"/>
      <c r="S109" s="60"/>
      <c r="T109" s="48" t="str">
        <f t="shared" si="4"/>
        <v/>
      </c>
      <c r="U109" s="42" t="str" cm="1">
        <f t="array" ref="U109">_xlfn.IFS(OR(Q109="", T109="", Q109=0, "", T109=0), "", AND(T109&lt;=Q109,D109&lt;=Q109), "Y", OR(T109&gt;Q109,D109&gt;Q109), "N")</f>
        <v/>
      </c>
      <c r="V109" s="62"/>
      <c r="W109" s="63"/>
    </row>
    <row r="110" spans="1:23" x14ac:dyDescent="0.25">
      <c r="A110" s="58"/>
      <c r="B110" s="59"/>
      <c r="C110" s="59"/>
      <c r="D110" s="60"/>
      <c r="E110" s="59"/>
      <c r="F110" s="59"/>
      <c r="G110" s="60"/>
      <c r="H110" s="43" t="str" cm="1">
        <f t="array" ref="H110">IF(OR(F110="", G110=""), "",
  _xlfn.LET(
    _xlpm.rowIndex, MATCH(F110, INDEX(IncomeTable,,1), 0),
    _xlpm.thresholds, INDEX(IncomeTable, _xlpm.rowIndex, 2):INDEX(IncomeTable, _xlpm.rowIndex, 8),
    _xlpm.labels, {20,30,40,50,60,70,80},
    _xlpm.income, G110,
    IF(_xlpm.income &lt; INDEX(_xlpm.thresholds,1), "Below 20%",
      IF(_xlpm.income &gt; INDEX(_xlpm.thresholds,7), "Above 80%",
        INDEX(_xlpm.labels, _xlfn.XLOOKUP(_xlpm.income, _xlpm.thresholds, _xlfn.SEQUENCE(1,7), , -1))
      )
    )
  )
)</f>
        <v/>
      </c>
      <c r="I110" s="42" t="str">
        <f t="shared" si="6"/>
        <v/>
      </c>
      <c r="J110" s="61"/>
      <c r="K110" s="61"/>
      <c r="L110" s="61"/>
      <c r="M110" s="61"/>
      <c r="N110" s="47" t="str">
        <f t="shared" si="5"/>
        <v/>
      </c>
      <c r="O110" s="48" t="str">
        <f>IF(OR(C110="", B110=""), "",
  INDEX(RentTable, MATCH(B110, {0,1,2,3,4}, 0), MATCH(C110, {20,30,40,50,60,70,80}, 1))
)</f>
        <v/>
      </c>
      <c r="P110" s="60"/>
      <c r="Q110" s="48" t="str">
        <f t="shared" si="7"/>
        <v/>
      </c>
      <c r="R110" s="60"/>
      <c r="S110" s="60"/>
      <c r="T110" s="48" t="str">
        <f t="shared" si="4"/>
        <v/>
      </c>
      <c r="U110" s="42" t="str" cm="1">
        <f t="array" ref="U110">_xlfn.IFS(OR(Q110="", T110="", Q110=0, "", T110=0), "", AND(T110&lt;=Q110,D110&lt;=Q110), "Y", OR(T110&gt;Q110,D110&gt;Q110), "N")</f>
        <v/>
      </c>
      <c r="V110" s="62"/>
      <c r="W110" s="63"/>
    </row>
    <row r="111" spans="1:23" x14ac:dyDescent="0.25">
      <c r="A111" s="58"/>
      <c r="B111" s="59"/>
      <c r="C111" s="59"/>
      <c r="D111" s="60"/>
      <c r="E111" s="59"/>
      <c r="F111" s="59"/>
      <c r="G111" s="60"/>
      <c r="H111" s="43" t="str" cm="1">
        <f t="array" ref="H111">IF(OR(F111="", G111=""), "",
  _xlfn.LET(
    _xlpm.rowIndex, MATCH(F111, INDEX(IncomeTable,,1), 0),
    _xlpm.thresholds, INDEX(IncomeTable, _xlpm.rowIndex, 2):INDEX(IncomeTable, _xlpm.rowIndex, 8),
    _xlpm.labels, {20,30,40,50,60,70,80},
    _xlpm.income, G111,
    IF(_xlpm.income &lt; INDEX(_xlpm.thresholds,1), "Below 20%",
      IF(_xlpm.income &gt; INDEX(_xlpm.thresholds,7), "Above 80%",
        INDEX(_xlpm.labels, _xlfn.XLOOKUP(_xlpm.income, _xlpm.thresholds, _xlfn.SEQUENCE(1,7), , -1))
      )
    )
  )
)</f>
        <v/>
      </c>
      <c r="I111" s="42" t="str">
        <f t="shared" si="6"/>
        <v/>
      </c>
      <c r="J111" s="61"/>
      <c r="K111" s="61"/>
      <c r="L111" s="61"/>
      <c r="M111" s="61"/>
      <c r="N111" s="47" t="str">
        <f t="shared" si="5"/>
        <v/>
      </c>
      <c r="O111" s="48" t="str">
        <f>IF(OR(C111="", B111=""), "",
  INDEX(RentTable, MATCH(B111, {0,1,2,3,4}, 0), MATCH(C111, {20,30,40,50,60,70,80}, 1))
)</f>
        <v/>
      </c>
      <c r="P111" s="60"/>
      <c r="Q111" s="48" t="str">
        <f t="shared" si="7"/>
        <v/>
      </c>
      <c r="R111" s="60"/>
      <c r="S111" s="60"/>
      <c r="T111" s="48" t="str">
        <f t="shared" si="4"/>
        <v/>
      </c>
      <c r="U111" s="42" t="str" cm="1">
        <f t="array" ref="U111">_xlfn.IFS(OR(Q111="", T111="", Q111=0, "", T111=0), "", AND(T111&lt;=Q111,D111&lt;=Q111), "Y", OR(T111&gt;Q111,D111&gt;Q111), "N")</f>
        <v/>
      </c>
      <c r="V111" s="62"/>
      <c r="W111" s="63"/>
    </row>
    <row r="112" spans="1:23" x14ac:dyDescent="0.25">
      <c r="A112" s="58"/>
      <c r="B112" s="59"/>
      <c r="C112" s="59"/>
      <c r="D112" s="60"/>
      <c r="E112" s="59"/>
      <c r="F112" s="59"/>
      <c r="G112" s="60"/>
      <c r="H112" s="43" t="str" cm="1">
        <f t="array" ref="H112">IF(OR(F112="", G112=""), "",
  _xlfn.LET(
    _xlpm.rowIndex, MATCH(F112, INDEX(IncomeTable,,1), 0),
    _xlpm.thresholds, INDEX(IncomeTable, _xlpm.rowIndex, 2):INDEX(IncomeTable, _xlpm.rowIndex, 8),
    _xlpm.labels, {20,30,40,50,60,70,80},
    _xlpm.income, G112,
    IF(_xlpm.income &lt; INDEX(_xlpm.thresholds,1), "Below 20%",
      IF(_xlpm.income &gt; INDEX(_xlpm.thresholds,7), "Above 80%",
        INDEX(_xlpm.labels, _xlfn.XLOOKUP(_xlpm.income, _xlpm.thresholds, _xlfn.SEQUENCE(1,7), , -1))
      )
    )
  )
)</f>
        <v/>
      </c>
      <c r="I112" s="42" t="str">
        <f t="shared" si="6"/>
        <v/>
      </c>
      <c r="J112" s="61"/>
      <c r="K112" s="61"/>
      <c r="L112" s="61"/>
      <c r="M112" s="61"/>
      <c r="N112" s="47" t="str">
        <f t="shared" si="5"/>
        <v/>
      </c>
      <c r="O112" s="48" t="str">
        <f>IF(OR(C112="", B112=""), "",
  INDEX(RentTable, MATCH(B112, {0,1,2,3,4}, 0), MATCH(C112, {20,30,40,50,60,70,80}, 1))
)</f>
        <v/>
      </c>
      <c r="P112" s="60"/>
      <c r="Q112" s="48" t="str">
        <f t="shared" si="7"/>
        <v/>
      </c>
      <c r="R112" s="60"/>
      <c r="S112" s="60"/>
      <c r="T112" s="48" t="str">
        <f t="shared" si="4"/>
        <v/>
      </c>
      <c r="U112" s="42" t="str" cm="1">
        <f t="array" ref="U112">_xlfn.IFS(OR(Q112="", T112="", Q112=0, "", T112=0), "", AND(T112&lt;=Q112,D112&lt;=Q112), "Y", OR(T112&gt;Q112,D112&gt;Q112), "N")</f>
        <v/>
      </c>
      <c r="V112" s="62"/>
      <c r="W112" s="63"/>
    </row>
    <row r="113" spans="1:23" x14ac:dyDescent="0.25">
      <c r="A113" s="58"/>
      <c r="B113" s="59"/>
      <c r="C113" s="59"/>
      <c r="D113" s="60"/>
      <c r="E113" s="59"/>
      <c r="F113" s="59"/>
      <c r="G113" s="60"/>
      <c r="H113" s="43" t="str" cm="1">
        <f t="array" ref="H113">IF(OR(F113="", G113=""), "",
  _xlfn.LET(
    _xlpm.rowIndex, MATCH(F113, INDEX(IncomeTable,,1), 0),
    _xlpm.thresholds, INDEX(IncomeTable, _xlpm.rowIndex, 2):INDEX(IncomeTable, _xlpm.rowIndex, 8),
    _xlpm.labels, {20,30,40,50,60,70,80},
    _xlpm.income, G113,
    IF(_xlpm.income &lt; INDEX(_xlpm.thresholds,1), "Below 20%",
      IF(_xlpm.income &gt; INDEX(_xlpm.thresholds,7), "Above 80%",
        INDEX(_xlpm.labels, _xlfn.XLOOKUP(_xlpm.income, _xlpm.thresholds, _xlfn.SEQUENCE(1,7), , -1))
      )
    )
  )
)</f>
        <v/>
      </c>
      <c r="I113" s="42" t="str">
        <f t="shared" si="6"/>
        <v/>
      </c>
      <c r="J113" s="61"/>
      <c r="K113" s="61"/>
      <c r="L113" s="61"/>
      <c r="M113" s="61"/>
      <c r="N113" s="47" t="str">
        <f t="shared" si="5"/>
        <v/>
      </c>
      <c r="O113" s="48" t="str">
        <f>IF(OR(C113="", B113=""), "",
  INDEX(RentTable, MATCH(B113, {0,1,2,3,4}, 0), MATCH(C113, {20,30,40,50,60,70,80}, 1))
)</f>
        <v/>
      </c>
      <c r="P113" s="60"/>
      <c r="Q113" s="48" t="str">
        <f t="shared" si="7"/>
        <v/>
      </c>
      <c r="R113" s="60"/>
      <c r="S113" s="60"/>
      <c r="T113" s="48" t="str">
        <f t="shared" si="4"/>
        <v/>
      </c>
      <c r="U113" s="42" t="str" cm="1">
        <f t="array" ref="U113">_xlfn.IFS(OR(Q113="", T113="", Q113=0, "", T113=0), "", AND(T113&lt;=Q113,D113&lt;=Q113), "Y", OR(T113&gt;Q113,D113&gt;Q113), "N")</f>
        <v/>
      </c>
      <c r="V113" s="62"/>
      <c r="W113" s="63"/>
    </row>
    <row r="114" spans="1:23" x14ac:dyDescent="0.25">
      <c r="A114" s="58"/>
      <c r="B114" s="59"/>
      <c r="C114" s="59"/>
      <c r="D114" s="60"/>
      <c r="E114" s="59"/>
      <c r="F114" s="59"/>
      <c r="G114" s="60"/>
      <c r="H114" s="43" t="str" cm="1">
        <f t="array" ref="H114">IF(OR(F114="", G114=""), "",
  _xlfn.LET(
    _xlpm.rowIndex, MATCH(F114, INDEX(IncomeTable,,1), 0),
    _xlpm.thresholds, INDEX(IncomeTable, _xlpm.rowIndex, 2):INDEX(IncomeTable, _xlpm.rowIndex, 8),
    _xlpm.labels, {20,30,40,50,60,70,80},
    _xlpm.income, G114,
    IF(_xlpm.income &lt; INDEX(_xlpm.thresholds,1), "Below 20%",
      IF(_xlpm.income &gt; INDEX(_xlpm.thresholds,7), "Above 80%",
        INDEX(_xlpm.labels, _xlfn.XLOOKUP(_xlpm.income, _xlpm.thresholds, _xlfn.SEQUENCE(1,7), , -1))
      )
    )
  )
)</f>
        <v/>
      </c>
      <c r="I114" s="42" t="str">
        <f t="shared" si="6"/>
        <v/>
      </c>
      <c r="J114" s="61"/>
      <c r="K114" s="61"/>
      <c r="L114" s="61"/>
      <c r="M114" s="61"/>
      <c r="N114" s="47" t="str">
        <f t="shared" si="5"/>
        <v/>
      </c>
      <c r="O114" s="48" t="str">
        <f>IF(OR(C114="", B114=""), "",
  INDEX(RentTable, MATCH(B114, {0,1,2,3,4}, 0), MATCH(C114, {20,30,40,50,60,70,80}, 1))
)</f>
        <v/>
      </c>
      <c r="P114" s="60"/>
      <c r="Q114" s="48" t="str">
        <f t="shared" si="7"/>
        <v/>
      </c>
      <c r="R114" s="60"/>
      <c r="S114" s="60"/>
      <c r="T114" s="48" t="str">
        <f t="shared" si="4"/>
        <v/>
      </c>
      <c r="U114" s="42" t="str" cm="1">
        <f t="array" ref="U114">_xlfn.IFS(OR(Q114="", T114="", Q114=0, "", T114=0), "", AND(T114&lt;=Q114,D114&lt;=Q114), "Y", OR(T114&gt;Q114,D114&gt;Q114), "N")</f>
        <v/>
      </c>
      <c r="V114" s="62"/>
      <c r="W114" s="63"/>
    </row>
    <row r="115" spans="1:23" x14ac:dyDescent="0.25">
      <c r="A115" s="58"/>
      <c r="B115" s="59"/>
      <c r="C115" s="59"/>
      <c r="D115" s="60"/>
      <c r="E115" s="59"/>
      <c r="F115" s="59"/>
      <c r="G115" s="60"/>
      <c r="H115" s="43" t="str" cm="1">
        <f t="array" ref="H115">IF(OR(F115="", G115=""), "",
  _xlfn.LET(
    _xlpm.rowIndex, MATCH(F115, INDEX(IncomeTable,,1), 0),
    _xlpm.thresholds, INDEX(IncomeTable, _xlpm.rowIndex, 2):INDEX(IncomeTable, _xlpm.rowIndex, 8),
    _xlpm.labels, {20,30,40,50,60,70,80},
    _xlpm.income, G115,
    IF(_xlpm.income &lt; INDEX(_xlpm.thresholds,1), "Below 20%",
      IF(_xlpm.income &gt; INDEX(_xlpm.thresholds,7), "Above 80%",
        INDEX(_xlpm.labels, _xlfn.XLOOKUP(_xlpm.income, _xlpm.thresholds, _xlfn.SEQUENCE(1,7), , -1))
      )
    )
  )
)</f>
        <v/>
      </c>
      <c r="I115" s="42" t="str">
        <f t="shared" si="6"/>
        <v/>
      </c>
      <c r="J115" s="61"/>
      <c r="K115" s="61"/>
      <c r="L115" s="61"/>
      <c r="M115" s="61"/>
      <c r="N115" s="47" t="str">
        <f t="shared" si="5"/>
        <v/>
      </c>
      <c r="O115" s="48" t="str">
        <f>IF(OR(C115="", B115=""), "",
  INDEX(RentTable, MATCH(B115, {0,1,2,3,4}, 0), MATCH(C115, {20,30,40,50,60,70,80}, 1))
)</f>
        <v/>
      </c>
      <c r="P115" s="60"/>
      <c r="Q115" s="48" t="str">
        <f t="shared" si="7"/>
        <v/>
      </c>
      <c r="R115" s="60"/>
      <c r="S115" s="60"/>
      <c r="T115" s="48" t="str">
        <f t="shared" si="4"/>
        <v/>
      </c>
      <c r="U115" s="42" t="str" cm="1">
        <f t="array" ref="U115">_xlfn.IFS(OR(Q115="", T115="", Q115=0, "", T115=0), "", AND(T115&lt;=Q115,D115&lt;=Q115), "Y", OR(T115&gt;Q115,D115&gt;Q115), "N")</f>
        <v/>
      </c>
      <c r="V115" s="62"/>
      <c r="W115" s="63"/>
    </row>
    <row r="116" spans="1:23" x14ac:dyDescent="0.25">
      <c r="A116" s="58"/>
      <c r="B116" s="59"/>
      <c r="C116" s="59"/>
      <c r="D116" s="60"/>
      <c r="E116" s="59"/>
      <c r="F116" s="59"/>
      <c r="G116" s="60"/>
      <c r="H116" s="43" t="str" cm="1">
        <f t="array" ref="H116">IF(OR(F116="", G116=""), "",
  _xlfn.LET(
    _xlpm.rowIndex, MATCH(F116, INDEX(IncomeTable,,1), 0),
    _xlpm.thresholds, INDEX(IncomeTable, _xlpm.rowIndex, 2):INDEX(IncomeTable, _xlpm.rowIndex, 8),
    _xlpm.labels, {20,30,40,50,60,70,80},
    _xlpm.income, G116,
    IF(_xlpm.income &lt; INDEX(_xlpm.thresholds,1), "Below 20%",
      IF(_xlpm.income &gt; INDEX(_xlpm.thresholds,7), "Above 80%",
        INDEX(_xlpm.labels, _xlfn.XLOOKUP(_xlpm.income, _xlpm.thresholds, _xlfn.SEQUENCE(1,7), , -1))
      )
    )
  )
)</f>
        <v/>
      </c>
      <c r="I116" s="42" t="str">
        <f t="shared" si="6"/>
        <v/>
      </c>
      <c r="J116" s="61"/>
      <c r="K116" s="61"/>
      <c r="L116" s="61"/>
      <c r="M116" s="61"/>
      <c r="N116" s="47" t="str">
        <f t="shared" si="5"/>
        <v/>
      </c>
      <c r="O116" s="48" t="str">
        <f>IF(OR(C116="", B116=""), "",
  INDEX(RentTable, MATCH(B116, {0,1,2,3,4}, 0), MATCH(C116, {20,30,40,50,60,70,80}, 1))
)</f>
        <v/>
      </c>
      <c r="P116" s="60"/>
      <c r="Q116" s="48" t="str">
        <f t="shared" si="7"/>
        <v/>
      </c>
      <c r="R116" s="60"/>
      <c r="S116" s="60"/>
      <c r="T116" s="48" t="str">
        <f t="shared" si="4"/>
        <v/>
      </c>
      <c r="U116" s="42" t="str" cm="1">
        <f t="array" ref="U116">_xlfn.IFS(OR(Q116="", T116="", Q116=0, "", T116=0), "", AND(T116&lt;=Q116,D116&lt;=Q116), "Y", OR(T116&gt;Q116,D116&gt;Q116), "N")</f>
        <v/>
      </c>
      <c r="V116" s="62"/>
      <c r="W116" s="63"/>
    </row>
    <row r="117" spans="1:23" x14ac:dyDescent="0.25">
      <c r="A117" s="58"/>
      <c r="B117" s="59"/>
      <c r="C117" s="59"/>
      <c r="D117" s="60"/>
      <c r="E117" s="59"/>
      <c r="F117" s="59"/>
      <c r="G117" s="60"/>
      <c r="H117" s="43" t="str" cm="1">
        <f t="array" ref="H117">IF(OR(F117="", G117=""), "",
  _xlfn.LET(
    _xlpm.rowIndex, MATCH(F117, INDEX(IncomeTable,,1), 0),
    _xlpm.thresholds, INDEX(IncomeTable, _xlpm.rowIndex, 2):INDEX(IncomeTable, _xlpm.rowIndex, 8),
    _xlpm.labels, {20,30,40,50,60,70,80},
    _xlpm.income, G117,
    IF(_xlpm.income &lt; INDEX(_xlpm.thresholds,1), "Below 20%",
      IF(_xlpm.income &gt; INDEX(_xlpm.thresholds,7), "Above 80%",
        INDEX(_xlpm.labels, _xlfn.XLOOKUP(_xlpm.income, _xlpm.thresholds, _xlfn.SEQUENCE(1,7), , -1))
      )
    )
  )
)</f>
        <v/>
      </c>
      <c r="I117" s="42" t="str">
        <f t="shared" si="6"/>
        <v/>
      </c>
      <c r="J117" s="61"/>
      <c r="K117" s="61"/>
      <c r="L117" s="61"/>
      <c r="M117" s="61"/>
      <c r="N117" s="47" t="str">
        <f t="shared" si="5"/>
        <v/>
      </c>
      <c r="O117" s="48" t="str">
        <f>IF(OR(C117="", B117=""), "",
  INDEX(RentTable, MATCH(B117, {0,1,2,3,4}, 0), MATCH(C117, {20,30,40,50,60,70,80}, 1))
)</f>
        <v/>
      </c>
      <c r="P117" s="60"/>
      <c r="Q117" s="48" t="str">
        <f t="shared" si="7"/>
        <v/>
      </c>
      <c r="R117" s="60"/>
      <c r="S117" s="60"/>
      <c r="T117" s="48" t="str">
        <f t="shared" si="4"/>
        <v/>
      </c>
      <c r="U117" s="42" t="str" cm="1">
        <f t="array" ref="U117">_xlfn.IFS(OR(Q117="", T117="", Q117=0, "", T117=0), "", AND(T117&lt;=Q117,D117&lt;=Q117), "Y", OR(T117&gt;Q117,D117&gt;Q117), "N")</f>
        <v/>
      </c>
      <c r="V117" s="62"/>
      <c r="W117" s="63"/>
    </row>
    <row r="118" spans="1:23" x14ac:dyDescent="0.25">
      <c r="A118" s="58"/>
      <c r="B118" s="59"/>
      <c r="C118" s="59"/>
      <c r="D118" s="60"/>
      <c r="E118" s="59"/>
      <c r="F118" s="59"/>
      <c r="G118" s="60"/>
      <c r="H118" s="43" t="str" cm="1">
        <f t="array" ref="H118">IF(OR(F118="", G118=""), "",
  _xlfn.LET(
    _xlpm.rowIndex, MATCH(F118, INDEX(IncomeTable,,1), 0),
    _xlpm.thresholds, INDEX(IncomeTable, _xlpm.rowIndex, 2):INDEX(IncomeTable, _xlpm.rowIndex, 8),
    _xlpm.labels, {20,30,40,50,60,70,80},
    _xlpm.income, G118,
    IF(_xlpm.income &lt; INDEX(_xlpm.thresholds,1), "Below 20%",
      IF(_xlpm.income &gt; INDEX(_xlpm.thresholds,7), "Above 80%",
        INDEX(_xlpm.labels, _xlfn.XLOOKUP(_xlpm.income, _xlpm.thresholds, _xlfn.SEQUENCE(1,7), , -1))
      )
    )
  )
)</f>
        <v/>
      </c>
      <c r="I118" s="42" t="str">
        <f t="shared" si="6"/>
        <v/>
      </c>
      <c r="J118" s="61"/>
      <c r="K118" s="61"/>
      <c r="L118" s="61"/>
      <c r="M118" s="61"/>
      <c r="N118" s="47" t="str">
        <f t="shared" si="5"/>
        <v/>
      </c>
      <c r="O118" s="48" t="str">
        <f>IF(OR(C118="", B118=""), "",
  INDEX(RentTable, MATCH(B118, {0,1,2,3,4}, 0), MATCH(C118, {20,30,40,50,60,70,80}, 1))
)</f>
        <v/>
      </c>
      <c r="P118" s="60"/>
      <c r="Q118" s="48" t="str">
        <f t="shared" si="7"/>
        <v/>
      </c>
      <c r="R118" s="60"/>
      <c r="S118" s="60"/>
      <c r="T118" s="48" t="str">
        <f t="shared" si="4"/>
        <v/>
      </c>
      <c r="U118" s="42" t="str" cm="1">
        <f t="array" ref="U118">_xlfn.IFS(OR(Q118="", T118="", Q118=0, "", T118=0), "", AND(T118&lt;=Q118,D118&lt;=Q118), "Y", OR(T118&gt;Q118,D118&gt;Q118), "N")</f>
        <v/>
      </c>
      <c r="V118" s="62"/>
      <c r="W118" s="63"/>
    </row>
    <row r="119" spans="1:23" x14ac:dyDescent="0.25">
      <c r="A119" s="58"/>
      <c r="B119" s="59"/>
      <c r="C119" s="59"/>
      <c r="D119" s="60"/>
      <c r="E119" s="59"/>
      <c r="F119" s="59"/>
      <c r="G119" s="60"/>
      <c r="H119" s="43" t="str" cm="1">
        <f t="array" ref="H119">IF(OR(F119="", G119=""), "",
  _xlfn.LET(
    _xlpm.rowIndex, MATCH(F119, INDEX(IncomeTable,,1), 0),
    _xlpm.thresholds, INDEX(IncomeTable, _xlpm.rowIndex, 2):INDEX(IncomeTable, _xlpm.rowIndex, 8),
    _xlpm.labels, {20,30,40,50,60,70,80},
    _xlpm.income, G119,
    IF(_xlpm.income &lt; INDEX(_xlpm.thresholds,1), "Below 20%",
      IF(_xlpm.income &gt; INDEX(_xlpm.thresholds,7), "Above 80%",
        INDEX(_xlpm.labels, _xlfn.XLOOKUP(_xlpm.income, _xlpm.thresholds, _xlfn.SEQUENCE(1,7), , -1))
      )
    )
  )
)</f>
        <v/>
      </c>
      <c r="I119" s="42" t="str">
        <f t="shared" si="6"/>
        <v/>
      </c>
      <c r="J119" s="61"/>
      <c r="K119" s="61"/>
      <c r="L119" s="61"/>
      <c r="M119" s="61"/>
      <c r="N119" s="47" t="str">
        <f t="shared" si="5"/>
        <v/>
      </c>
      <c r="O119" s="48" t="str">
        <f>IF(OR(C119="", B119=""), "",
  INDEX(RentTable, MATCH(B119, {0,1,2,3,4}, 0), MATCH(C119, {20,30,40,50,60,70,80}, 1))
)</f>
        <v/>
      </c>
      <c r="P119" s="60"/>
      <c r="Q119" s="48" t="str">
        <f t="shared" si="7"/>
        <v/>
      </c>
      <c r="R119" s="60"/>
      <c r="S119" s="60"/>
      <c r="T119" s="48" t="str">
        <f t="shared" si="4"/>
        <v/>
      </c>
      <c r="U119" s="42" t="str" cm="1">
        <f t="array" ref="U119">_xlfn.IFS(OR(Q119="", T119="", Q119=0, "", T119=0), "", AND(T119&lt;=Q119,D119&lt;=Q119), "Y", OR(T119&gt;Q119,D119&gt;Q119), "N")</f>
        <v/>
      </c>
      <c r="V119" s="62"/>
      <c r="W119" s="63"/>
    </row>
    <row r="120" spans="1:23" x14ac:dyDescent="0.25">
      <c r="A120" s="58"/>
      <c r="B120" s="59"/>
      <c r="C120" s="59"/>
      <c r="D120" s="60"/>
      <c r="E120" s="59"/>
      <c r="F120" s="59"/>
      <c r="G120" s="60"/>
      <c r="H120" s="43" t="str" cm="1">
        <f t="array" ref="H120">IF(OR(F120="", G120=""), "",
  _xlfn.LET(
    _xlpm.rowIndex, MATCH(F120, INDEX(IncomeTable,,1), 0),
    _xlpm.thresholds, INDEX(IncomeTable, _xlpm.rowIndex, 2):INDEX(IncomeTable, _xlpm.rowIndex, 8),
    _xlpm.labels, {20,30,40,50,60,70,80},
    _xlpm.income, G120,
    IF(_xlpm.income &lt; INDEX(_xlpm.thresholds,1), "Below 20%",
      IF(_xlpm.income &gt; INDEX(_xlpm.thresholds,7), "Above 80%",
        INDEX(_xlpm.labels, _xlfn.XLOOKUP(_xlpm.income, _xlpm.thresholds, _xlfn.SEQUENCE(1,7), , -1))
      )
    )
  )
)</f>
        <v/>
      </c>
      <c r="I120" s="42" t="str">
        <f t="shared" si="6"/>
        <v/>
      </c>
      <c r="J120" s="61"/>
      <c r="K120" s="61"/>
      <c r="L120" s="61"/>
      <c r="M120" s="61"/>
      <c r="N120" s="47" t="str">
        <f t="shared" si="5"/>
        <v/>
      </c>
      <c r="O120" s="48" t="str">
        <f>IF(OR(C120="", B120=""), "",
  INDEX(RentTable, MATCH(B120, {0,1,2,3,4}, 0), MATCH(C120, {20,30,40,50,60,70,80}, 1))
)</f>
        <v/>
      </c>
      <c r="P120" s="60"/>
      <c r="Q120" s="48" t="str">
        <f t="shared" si="7"/>
        <v/>
      </c>
      <c r="R120" s="60"/>
      <c r="S120" s="60"/>
      <c r="T120" s="48" t="str">
        <f t="shared" si="4"/>
        <v/>
      </c>
      <c r="U120" s="42" t="str" cm="1">
        <f t="array" ref="U120">_xlfn.IFS(OR(Q120="", T120="", Q120=0, "", T120=0), "", AND(T120&lt;=Q120,D120&lt;=Q120), "Y", OR(T120&gt;Q120,D120&gt;Q120), "N")</f>
        <v/>
      </c>
      <c r="V120" s="62"/>
      <c r="W120" s="63"/>
    </row>
    <row r="121" spans="1:23" x14ac:dyDescent="0.25">
      <c r="A121" s="58"/>
      <c r="B121" s="59"/>
      <c r="C121" s="59"/>
      <c r="D121" s="60"/>
      <c r="E121" s="59"/>
      <c r="F121" s="59"/>
      <c r="G121" s="60"/>
      <c r="H121" s="43" t="str" cm="1">
        <f t="array" ref="H121">IF(OR(F121="", G121=""), "",
  _xlfn.LET(
    _xlpm.rowIndex, MATCH(F121, INDEX(IncomeTable,,1), 0),
    _xlpm.thresholds, INDEX(IncomeTable, _xlpm.rowIndex, 2):INDEX(IncomeTable, _xlpm.rowIndex, 8),
    _xlpm.labels, {20,30,40,50,60,70,80},
    _xlpm.income, G121,
    IF(_xlpm.income &lt; INDEX(_xlpm.thresholds,1), "Below 20%",
      IF(_xlpm.income &gt; INDEX(_xlpm.thresholds,7), "Above 80%",
        INDEX(_xlpm.labels, _xlfn.XLOOKUP(_xlpm.income, _xlpm.thresholds, _xlfn.SEQUENCE(1,7), , -1))
      )
    )
  )
)</f>
        <v/>
      </c>
      <c r="I121" s="42" t="str">
        <f t="shared" si="6"/>
        <v/>
      </c>
      <c r="J121" s="61"/>
      <c r="K121" s="61"/>
      <c r="L121" s="61"/>
      <c r="M121" s="61"/>
      <c r="N121" s="47" t="str">
        <f t="shared" si="5"/>
        <v/>
      </c>
      <c r="O121" s="48" t="str">
        <f>IF(OR(C121="", B121=""), "",
  INDEX(RentTable, MATCH(B121, {0,1,2,3,4}, 0), MATCH(C121, {20,30,40,50,60,70,80}, 1))
)</f>
        <v/>
      </c>
      <c r="P121" s="60"/>
      <c r="Q121" s="48" t="str">
        <f t="shared" si="7"/>
        <v/>
      </c>
      <c r="R121" s="60"/>
      <c r="S121" s="60"/>
      <c r="T121" s="48" t="str">
        <f t="shared" si="4"/>
        <v/>
      </c>
      <c r="U121" s="42" t="str" cm="1">
        <f t="array" ref="U121">_xlfn.IFS(OR(Q121="", T121="", Q121=0, "", T121=0), "", AND(T121&lt;=Q121,D121&lt;=Q121), "Y", OR(T121&gt;Q121,D121&gt;Q121), "N")</f>
        <v/>
      </c>
      <c r="V121" s="62"/>
      <c r="W121" s="63"/>
    </row>
    <row r="122" spans="1:23" x14ac:dyDescent="0.25">
      <c r="A122" s="58"/>
      <c r="B122" s="59"/>
      <c r="C122" s="59"/>
      <c r="D122" s="60"/>
      <c r="E122" s="59"/>
      <c r="F122" s="59"/>
      <c r="G122" s="60"/>
      <c r="H122" s="43" t="str" cm="1">
        <f t="array" ref="H122">IF(OR(F122="", G122=""), "",
  _xlfn.LET(
    _xlpm.rowIndex, MATCH(F122, INDEX(IncomeTable,,1), 0),
    _xlpm.thresholds, INDEX(IncomeTable, _xlpm.rowIndex, 2):INDEX(IncomeTable, _xlpm.rowIndex, 8),
    _xlpm.labels, {20,30,40,50,60,70,80},
    _xlpm.income, G122,
    IF(_xlpm.income &lt; INDEX(_xlpm.thresholds,1), "Below 20%",
      IF(_xlpm.income &gt; INDEX(_xlpm.thresholds,7), "Above 80%",
        INDEX(_xlpm.labels, _xlfn.XLOOKUP(_xlpm.income, _xlpm.thresholds, _xlfn.SEQUENCE(1,7), , -1))
      )
    )
  )
)</f>
        <v/>
      </c>
      <c r="I122" s="42" t="str">
        <f t="shared" si="6"/>
        <v/>
      </c>
      <c r="J122" s="61"/>
      <c r="K122" s="61"/>
      <c r="L122" s="61"/>
      <c r="M122" s="61"/>
      <c r="N122" s="47" t="str">
        <f t="shared" si="5"/>
        <v/>
      </c>
      <c r="O122" s="48" t="str">
        <f>IF(OR(C122="", B122=""), "",
  INDEX(RentTable, MATCH(B122, {0,1,2,3,4}, 0), MATCH(C122, {20,30,40,50,60,70,80}, 1))
)</f>
        <v/>
      </c>
      <c r="P122" s="60"/>
      <c r="Q122" s="48" t="str">
        <f t="shared" si="7"/>
        <v/>
      </c>
      <c r="R122" s="60"/>
      <c r="S122" s="60"/>
      <c r="T122" s="48" t="str">
        <f t="shared" si="4"/>
        <v/>
      </c>
      <c r="U122" s="42" t="str" cm="1">
        <f t="array" ref="U122">_xlfn.IFS(OR(Q122="", T122="", Q122=0, "", T122=0), "", AND(T122&lt;=Q122,D122&lt;=Q122), "Y", OR(T122&gt;Q122,D122&gt;Q122), "N")</f>
        <v/>
      </c>
      <c r="V122" s="62"/>
      <c r="W122" s="63"/>
    </row>
    <row r="123" spans="1:23" x14ac:dyDescent="0.25">
      <c r="A123" s="58"/>
      <c r="B123" s="59"/>
      <c r="C123" s="59"/>
      <c r="D123" s="60"/>
      <c r="E123" s="59"/>
      <c r="F123" s="59"/>
      <c r="G123" s="60"/>
      <c r="H123" s="43" t="str" cm="1">
        <f t="array" ref="H123">IF(OR(F123="", G123=""), "",
  _xlfn.LET(
    _xlpm.rowIndex, MATCH(F123, INDEX(IncomeTable,,1), 0),
    _xlpm.thresholds, INDEX(IncomeTable, _xlpm.rowIndex, 2):INDEX(IncomeTable, _xlpm.rowIndex, 8),
    _xlpm.labels, {20,30,40,50,60,70,80},
    _xlpm.income, G123,
    IF(_xlpm.income &lt; INDEX(_xlpm.thresholds,1), "Below 20%",
      IF(_xlpm.income &gt; INDEX(_xlpm.thresholds,7), "Above 80%",
        INDEX(_xlpm.labels, _xlfn.XLOOKUP(_xlpm.income, _xlpm.thresholds, _xlfn.SEQUENCE(1,7), , -1))
      )
    )
  )
)</f>
        <v/>
      </c>
      <c r="I123" s="42" t="str">
        <f t="shared" si="6"/>
        <v/>
      </c>
      <c r="J123" s="61"/>
      <c r="K123" s="61"/>
      <c r="L123" s="61"/>
      <c r="M123" s="61"/>
      <c r="N123" s="47" t="str">
        <f t="shared" si="5"/>
        <v/>
      </c>
      <c r="O123" s="48" t="str">
        <f>IF(OR(C123="", B123=""), "",
  INDEX(RentTable, MATCH(B123, {0,1,2,3,4}, 0), MATCH(C123, {20,30,40,50,60,70,80}, 1))
)</f>
        <v/>
      </c>
      <c r="P123" s="60"/>
      <c r="Q123" s="48" t="str">
        <f t="shared" si="7"/>
        <v/>
      </c>
      <c r="R123" s="60"/>
      <c r="S123" s="60"/>
      <c r="T123" s="48" t="str">
        <f t="shared" si="4"/>
        <v/>
      </c>
      <c r="U123" s="42" t="str" cm="1">
        <f t="array" ref="U123">_xlfn.IFS(OR(Q123="", T123="", Q123=0, "", T123=0), "", AND(T123&lt;=Q123,D123&lt;=Q123), "Y", OR(T123&gt;Q123,D123&gt;Q123), "N")</f>
        <v/>
      </c>
      <c r="V123" s="62"/>
      <c r="W123" s="63"/>
    </row>
    <row r="124" spans="1:23" x14ac:dyDescent="0.25">
      <c r="A124" s="58"/>
      <c r="B124" s="59"/>
      <c r="C124" s="59"/>
      <c r="D124" s="60"/>
      <c r="E124" s="59"/>
      <c r="F124" s="59"/>
      <c r="G124" s="60"/>
      <c r="H124" s="43" t="str" cm="1">
        <f t="array" ref="H124">IF(OR(F124="", G124=""), "",
  _xlfn.LET(
    _xlpm.rowIndex, MATCH(F124, INDEX(IncomeTable,,1), 0),
    _xlpm.thresholds, INDEX(IncomeTable, _xlpm.rowIndex, 2):INDEX(IncomeTable, _xlpm.rowIndex, 8),
    _xlpm.labels, {20,30,40,50,60,70,80},
    _xlpm.income, G124,
    IF(_xlpm.income &lt; INDEX(_xlpm.thresholds,1), "Below 20%",
      IF(_xlpm.income &gt; INDEX(_xlpm.thresholds,7), "Above 80%",
        INDEX(_xlpm.labels, _xlfn.XLOOKUP(_xlpm.income, _xlpm.thresholds, _xlfn.SEQUENCE(1,7), , -1))
      )
    )
  )
)</f>
        <v/>
      </c>
      <c r="I124" s="42" t="str">
        <f t="shared" si="6"/>
        <v/>
      </c>
      <c r="J124" s="61"/>
      <c r="K124" s="61"/>
      <c r="L124" s="61"/>
      <c r="M124" s="61"/>
      <c r="N124" s="47" t="str">
        <f t="shared" si="5"/>
        <v/>
      </c>
      <c r="O124" s="48" t="str">
        <f>IF(OR(C124="", B124=""), "",
  INDEX(RentTable, MATCH(B124, {0,1,2,3,4}, 0), MATCH(C124, {20,30,40,50,60,70,80}, 1))
)</f>
        <v/>
      </c>
      <c r="P124" s="60"/>
      <c r="Q124" s="48" t="str">
        <f t="shared" si="7"/>
        <v/>
      </c>
      <c r="R124" s="60"/>
      <c r="S124" s="60"/>
      <c r="T124" s="48" t="str">
        <f t="shared" si="4"/>
        <v/>
      </c>
      <c r="U124" s="42" t="str" cm="1">
        <f t="array" ref="U124">_xlfn.IFS(OR(Q124="", T124="", Q124=0, "", T124=0), "", AND(T124&lt;=Q124,D124&lt;=Q124), "Y", OR(T124&gt;Q124,D124&gt;Q124), "N")</f>
        <v/>
      </c>
      <c r="V124" s="62"/>
      <c r="W124" s="63"/>
    </row>
    <row r="125" spans="1:23" x14ac:dyDescent="0.25">
      <c r="A125" s="58"/>
      <c r="B125" s="59"/>
      <c r="C125" s="59"/>
      <c r="D125" s="60"/>
      <c r="E125" s="59"/>
      <c r="F125" s="59"/>
      <c r="G125" s="60"/>
      <c r="H125" s="43" t="str" cm="1">
        <f t="array" ref="H125">IF(OR(F125="", G125=""), "",
  _xlfn.LET(
    _xlpm.rowIndex, MATCH(F125, INDEX(IncomeTable,,1), 0),
    _xlpm.thresholds, INDEX(IncomeTable, _xlpm.rowIndex, 2):INDEX(IncomeTable, _xlpm.rowIndex, 8),
    _xlpm.labels, {20,30,40,50,60,70,80},
    _xlpm.income, G125,
    IF(_xlpm.income &lt; INDEX(_xlpm.thresholds,1), "Below 20%",
      IF(_xlpm.income &gt; INDEX(_xlpm.thresholds,7), "Above 80%",
        INDEX(_xlpm.labels, _xlfn.XLOOKUP(_xlpm.income, _xlpm.thresholds, _xlfn.SEQUENCE(1,7), , -1))
      )
    )
  )
)</f>
        <v/>
      </c>
      <c r="I125" s="42" t="str">
        <f t="shared" si="6"/>
        <v/>
      </c>
      <c r="J125" s="61"/>
      <c r="K125" s="61"/>
      <c r="L125" s="61"/>
      <c r="M125" s="61"/>
      <c r="N125" s="47" t="str">
        <f t="shared" si="5"/>
        <v/>
      </c>
      <c r="O125" s="48" t="str">
        <f>IF(OR(C125="", B125=""), "",
  INDEX(RentTable, MATCH(B125, {0,1,2,3,4}, 0), MATCH(C125, {20,30,40,50,60,70,80}, 1))
)</f>
        <v/>
      </c>
      <c r="P125" s="60"/>
      <c r="Q125" s="48" t="str">
        <f t="shared" si="7"/>
        <v/>
      </c>
      <c r="R125" s="60"/>
      <c r="S125" s="60"/>
      <c r="T125" s="48" t="str">
        <f t="shared" si="4"/>
        <v/>
      </c>
      <c r="U125" s="42" t="str" cm="1">
        <f t="array" ref="U125">_xlfn.IFS(OR(Q125="", T125="", Q125=0, "", T125=0), "", AND(T125&lt;=Q125,D125&lt;=Q125), "Y", OR(T125&gt;Q125,D125&gt;Q125), "N")</f>
        <v/>
      </c>
      <c r="V125" s="62"/>
      <c r="W125" s="63"/>
    </row>
    <row r="126" spans="1:23" x14ac:dyDescent="0.25">
      <c r="A126" s="58"/>
      <c r="B126" s="59"/>
      <c r="C126" s="59"/>
      <c r="D126" s="60"/>
      <c r="E126" s="59"/>
      <c r="F126" s="59"/>
      <c r="G126" s="60"/>
      <c r="H126" s="43" t="str" cm="1">
        <f t="array" ref="H126">IF(OR(F126="", G126=""), "",
  _xlfn.LET(
    _xlpm.rowIndex, MATCH(F126, INDEX(IncomeTable,,1), 0),
    _xlpm.thresholds, INDEX(IncomeTable, _xlpm.rowIndex, 2):INDEX(IncomeTable, _xlpm.rowIndex, 8),
    _xlpm.labels, {20,30,40,50,60,70,80},
    _xlpm.income, G126,
    IF(_xlpm.income &lt; INDEX(_xlpm.thresholds,1), "Below 20%",
      IF(_xlpm.income &gt; INDEX(_xlpm.thresholds,7), "Above 80%",
        INDEX(_xlpm.labels, _xlfn.XLOOKUP(_xlpm.income, _xlpm.thresholds, _xlfn.SEQUENCE(1,7), , -1))
      )
    )
  )
)</f>
        <v/>
      </c>
      <c r="I126" s="42" t="str">
        <f t="shared" si="6"/>
        <v/>
      </c>
      <c r="J126" s="61"/>
      <c r="K126" s="61"/>
      <c r="L126" s="61"/>
      <c r="M126" s="61"/>
      <c r="N126" s="47" t="str">
        <f t="shared" si="5"/>
        <v/>
      </c>
      <c r="O126" s="48" t="str">
        <f>IF(OR(C126="", B126=""), "",
  INDEX(RentTable, MATCH(B126, {0,1,2,3,4}, 0), MATCH(C126, {20,30,40,50,60,70,80}, 1))
)</f>
        <v/>
      </c>
      <c r="P126" s="60"/>
      <c r="Q126" s="48" t="str">
        <f t="shared" si="7"/>
        <v/>
      </c>
      <c r="R126" s="60"/>
      <c r="S126" s="60"/>
      <c r="T126" s="48" t="str">
        <f t="shared" si="4"/>
        <v/>
      </c>
      <c r="U126" s="42" t="str" cm="1">
        <f t="array" ref="U126">_xlfn.IFS(OR(Q126="", T126="", Q126=0, "", T126=0), "", AND(T126&lt;=Q126,D126&lt;=Q126), "Y", OR(T126&gt;Q126,D126&gt;Q126), "N")</f>
        <v/>
      </c>
      <c r="V126" s="62"/>
      <c r="W126" s="63"/>
    </row>
    <row r="127" spans="1:23" x14ac:dyDescent="0.25">
      <c r="A127" s="58"/>
      <c r="B127" s="59"/>
      <c r="C127" s="59"/>
      <c r="D127" s="60"/>
      <c r="E127" s="59"/>
      <c r="F127" s="59"/>
      <c r="G127" s="60"/>
      <c r="H127" s="43" t="str" cm="1">
        <f t="array" ref="H127">IF(OR(F127="", G127=""), "",
  _xlfn.LET(
    _xlpm.rowIndex, MATCH(F127, INDEX(IncomeTable,,1), 0),
    _xlpm.thresholds, INDEX(IncomeTable, _xlpm.rowIndex, 2):INDEX(IncomeTable, _xlpm.rowIndex, 8),
    _xlpm.labels, {20,30,40,50,60,70,80},
    _xlpm.income, G127,
    IF(_xlpm.income &lt; INDEX(_xlpm.thresholds,1), "Below 20%",
      IF(_xlpm.income &gt; INDEX(_xlpm.thresholds,7), "Above 80%",
        INDEX(_xlpm.labels, _xlfn.XLOOKUP(_xlpm.income, _xlpm.thresholds, _xlfn.SEQUENCE(1,7), , -1))
      )
    )
  )
)</f>
        <v/>
      </c>
      <c r="I127" s="42" t="str">
        <f t="shared" si="6"/>
        <v/>
      </c>
      <c r="J127" s="61"/>
      <c r="K127" s="61"/>
      <c r="L127" s="61"/>
      <c r="M127" s="61"/>
      <c r="N127" s="47" t="str">
        <f t="shared" si="5"/>
        <v/>
      </c>
      <c r="O127" s="48" t="str">
        <f>IF(OR(C127="", B127=""), "",
  INDEX(RentTable, MATCH(B127, {0,1,2,3,4}, 0), MATCH(C127, {20,30,40,50,60,70,80}, 1))
)</f>
        <v/>
      </c>
      <c r="P127" s="60"/>
      <c r="Q127" s="48" t="str">
        <f t="shared" si="7"/>
        <v/>
      </c>
      <c r="R127" s="60"/>
      <c r="S127" s="60"/>
      <c r="T127" s="48" t="str">
        <f t="shared" si="4"/>
        <v/>
      </c>
      <c r="U127" s="42" t="str" cm="1">
        <f t="array" ref="U127">_xlfn.IFS(OR(Q127="", T127="", Q127=0, "", T127=0), "", AND(T127&lt;=Q127,D127&lt;=Q127), "Y", OR(T127&gt;Q127,D127&gt;Q127), "N")</f>
        <v/>
      </c>
      <c r="V127" s="62"/>
      <c r="W127" s="63"/>
    </row>
    <row r="128" spans="1:23" x14ac:dyDescent="0.25">
      <c r="A128" s="58"/>
      <c r="B128" s="59"/>
      <c r="C128" s="59"/>
      <c r="D128" s="60"/>
      <c r="E128" s="59"/>
      <c r="F128" s="59"/>
      <c r="G128" s="60"/>
      <c r="H128" s="43" t="str" cm="1">
        <f t="array" ref="H128">IF(OR(F128="", G128=""), "",
  _xlfn.LET(
    _xlpm.rowIndex, MATCH(F128, INDEX(IncomeTable,,1), 0),
    _xlpm.thresholds, INDEX(IncomeTable, _xlpm.rowIndex, 2):INDEX(IncomeTable, _xlpm.rowIndex, 8),
    _xlpm.labels, {20,30,40,50,60,70,80},
    _xlpm.income, G128,
    IF(_xlpm.income &lt; INDEX(_xlpm.thresholds,1), "Below 20%",
      IF(_xlpm.income &gt; INDEX(_xlpm.thresholds,7), "Above 80%",
        INDEX(_xlpm.labels, _xlfn.XLOOKUP(_xlpm.income, _xlpm.thresholds, _xlfn.SEQUENCE(1,7), , -1))
      )
    )
  )
)</f>
        <v/>
      </c>
      <c r="I128" s="42" t="str">
        <f t="shared" si="6"/>
        <v/>
      </c>
      <c r="J128" s="61"/>
      <c r="K128" s="61"/>
      <c r="L128" s="61"/>
      <c r="M128" s="61"/>
      <c r="N128" s="47" t="str">
        <f t="shared" si="5"/>
        <v/>
      </c>
      <c r="O128" s="48" t="str">
        <f>IF(OR(C128="", B128=""), "",
  INDEX(RentTable, MATCH(B128, {0,1,2,3,4}, 0), MATCH(C128, {20,30,40,50,60,70,80}, 1))
)</f>
        <v/>
      </c>
      <c r="P128" s="60"/>
      <c r="Q128" s="48" t="str">
        <f t="shared" si="7"/>
        <v/>
      </c>
      <c r="R128" s="60"/>
      <c r="S128" s="60"/>
      <c r="T128" s="48" t="str">
        <f t="shared" si="4"/>
        <v/>
      </c>
      <c r="U128" s="42" t="str" cm="1">
        <f t="array" ref="U128">_xlfn.IFS(OR(Q128="", T128="", Q128=0, "", T128=0), "", AND(T128&lt;=Q128,D128&lt;=Q128), "Y", OR(T128&gt;Q128,D128&gt;Q128), "N")</f>
        <v/>
      </c>
      <c r="V128" s="62"/>
      <c r="W128" s="63"/>
    </row>
    <row r="129" spans="1:23" x14ac:dyDescent="0.25">
      <c r="A129" s="58"/>
      <c r="B129" s="59"/>
      <c r="C129" s="59"/>
      <c r="D129" s="60"/>
      <c r="E129" s="59"/>
      <c r="F129" s="59"/>
      <c r="G129" s="60"/>
      <c r="H129" s="43" t="str" cm="1">
        <f t="array" ref="H129">IF(OR(F129="", G129=""), "",
  _xlfn.LET(
    _xlpm.rowIndex, MATCH(F129, INDEX(IncomeTable,,1), 0),
    _xlpm.thresholds, INDEX(IncomeTable, _xlpm.rowIndex, 2):INDEX(IncomeTable, _xlpm.rowIndex, 8),
    _xlpm.labels, {20,30,40,50,60,70,80},
    _xlpm.income, G129,
    IF(_xlpm.income &lt; INDEX(_xlpm.thresholds,1), "Below 20%",
      IF(_xlpm.income &gt; INDEX(_xlpm.thresholds,7), "Above 80%",
        INDEX(_xlpm.labels, _xlfn.XLOOKUP(_xlpm.income, _xlpm.thresholds, _xlfn.SEQUENCE(1,7), , -1))
      )
    )
  )
)</f>
        <v/>
      </c>
      <c r="I129" s="42" t="str">
        <f t="shared" si="6"/>
        <v/>
      </c>
      <c r="J129" s="61"/>
      <c r="K129" s="61"/>
      <c r="L129" s="61"/>
      <c r="M129" s="61"/>
      <c r="N129" s="47" t="str">
        <f t="shared" si="5"/>
        <v/>
      </c>
      <c r="O129" s="48" t="str">
        <f>IF(OR(C129="", B129=""), "",
  INDEX(RentTable, MATCH(B129, {0,1,2,3,4}, 0), MATCH(C129, {20,30,40,50,60,70,80}, 1))
)</f>
        <v/>
      </c>
      <c r="P129" s="60"/>
      <c r="Q129" s="48" t="str">
        <f t="shared" si="7"/>
        <v/>
      </c>
      <c r="R129" s="60"/>
      <c r="S129" s="60"/>
      <c r="T129" s="48" t="str">
        <f t="shared" si="4"/>
        <v/>
      </c>
      <c r="U129" s="42" t="str" cm="1">
        <f t="array" ref="U129">_xlfn.IFS(OR(Q129="", T129="", Q129=0, "", T129=0), "", AND(T129&lt;=Q129,D129&lt;=Q129), "Y", OR(T129&gt;Q129,D129&gt;Q129), "N")</f>
        <v/>
      </c>
      <c r="V129" s="62"/>
      <c r="W129" s="63"/>
    </row>
    <row r="130" spans="1:23" x14ac:dyDescent="0.25">
      <c r="A130" s="58"/>
      <c r="B130" s="59"/>
      <c r="C130" s="59"/>
      <c r="D130" s="60"/>
      <c r="E130" s="59"/>
      <c r="F130" s="59"/>
      <c r="G130" s="60"/>
      <c r="H130" s="43" t="str" cm="1">
        <f t="array" ref="H130">IF(OR(F130="", G130=""), "",
  _xlfn.LET(
    _xlpm.rowIndex, MATCH(F130, INDEX(IncomeTable,,1), 0),
    _xlpm.thresholds, INDEX(IncomeTable, _xlpm.rowIndex, 2):INDEX(IncomeTable, _xlpm.rowIndex, 8),
    _xlpm.labels, {20,30,40,50,60,70,80},
    _xlpm.income, G130,
    IF(_xlpm.income &lt; INDEX(_xlpm.thresholds,1), "Below 20%",
      IF(_xlpm.income &gt; INDEX(_xlpm.thresholds,7), "Above 80%",
        INDEX(_xlpm.labels, _xlfn.XLOOKUP(_xlpm.income, _xlpm.thresholds, _xlfn.SEQUENCE(1,7), , -1))
      )
    )
  )
)</f>
        <v/>
      </c>
      <c r="I130" s="42" t="str">
        <f t="shared" si="6"/>
        <v/>
      </c>
      <c r="J130" s="61"/>
      <c r="K130" s="61"/>
      <c r="L130" s="61"/>
      <c r="M130" s="61"/>
      <c r="N130" s="47" t="str">
        <f t="shared" si="5"/>
        <v/>
      </c>
      <c r="O130" s="48" t="str">
        <f>IF(OR(C130="", B130=""), "",
  INDEX(RentTable, MATCH(B130, {0,1,2,3,4}, 0), MATCH(C130, {20,30,40,50,60,70,80}, 1))
)</f>
        <v/>
      </c>
      <c r="P130" s="60"/>
      <c r="Q130" s="48" t="str">
        <f t="shared" si="7"/>
        <v/>
      </c>
      <c r="R130" s="60"/>
      <c r="S130" s="60"/>
      <c r="T130" s="48" t="str">
        <f t="shared" si="4"/>
        <v/>
      </c>
      <c r="U130" s="42" t="str" cm="1">
        <f t="array" ref="U130">_xlfn.IFS(OR(Q130="", T130="", Q130=0, "", T130=0), "", AND(T130&lt;=Q130,D130&lt;=Q130), "Y", OR(T130&gt;Q130,D130&gt;Q130), "N")</f>
        <v/>
      </c>
      <c r="V130" s="62"/>
      <c r="W130" s="63"/>
    </row>
    <row r="131" spans="1:23" x14ac:dyDescent="0.25">
      <c r="A131" s="58"/>
      <c r="B131" s="59"/>
      <c r="C131" s="59"/>
      <c r="D131" s="60"/>
      <c r="E131" s="59"/>
      <c r="F131" s="59"/>
      <c r="G131" s="60"/>
      <c r="H131" s="43" t="str" cm="1">
        <f t="array" ref="H131">IF(OR(F131="", G131=""), "",
  _xlfn.LET(
    _xlpm.rowIndex, MATCH(F131, INDEX(IncomeTable,,1), 0),
    _xlpm.thresholds, INDEX(IncomeTable, _xlpm.rowIndex, 2):INDEX(IncomeTable, _xlpm.rowIndex, 8),
    _xlpm.labels, {20,30,40,50,60,70,80},
    _xlpm.income, G131,
    IF(_xlpm.income &lt; INDEX(_xlpm.thresholds,1), "Below 20%",
      IF(_xlpm.income &gt; INDEX(_xlpm.thresholds,7), "Above 80%",
        INDEX(_xlpm.labels, _xlfn.XLOOKUP(_xlpm.income, _xlpm.thresholds, _xlfn.SEQUENCE(1,7), , -1))
      )
    )
  )
)</f>
        <v/>
      </c>
      <c r="I131" s="42" t="str">
        <f t="shared" si="6"/>
        <v/>
      </c>
      <c r="J131" s="61"/>
      <c r="K131" s="61"/>
      <c r="L131" s="61"/>
      <c r="M131" s="61"/>
      <c r="N131" s="47" t="str">
        <f t="shared" si="5"/>
        <v/>
      </c>
      <c r="O131" s="48" t="str">
        <f>IF(OR(C131="", B131=""), "",
  INDEX(RentTable, MATCH(B131, {0,1,2,3,4}, 0), MATCH(C131, {20,30,40,50,60,70,80}, 1))
)</f>
        <v/>
      </c>
      <c r="P131" s="60"/>
      <c r="Q131" s="48" t="str">
        <f t="shared" si="7"/>
        <v/>
      </c>
      <c r="R131" s="60"/>
      <c r="S131" s="60"/>
      <c r="T131" s="48" t="str">
        <f t="shared" si="4"/>
        <v/>
      </c>
      <c r="U131" s="42" t="str" cm="1">
        <f t="array" ref="U131">_xlfn.IFS(OR(Q131="", T131="", Q131=0, "", T131=0), "", AND(T131&lt;=Q131,D131&lt;=Q131), "Y", OR(T131&gt;Q131,D131&gt;Q131), "N")</f>
        <v/>
      </c>
      <c r="V131" s="62"/>
      <c r="W131" s="63"/>
    </row>
    <row r="132" spans="1:23" x14ac:dyDescent="0.25">
      <c r="A132" s="58"/>
      <c r="B132" s="59"/>
      <c r="C132" s="59"/>
      <c r="D132" s="60"/>
      <c r="E132" s="59"/>
      <c r="F132" s="59"/>
      <c r="G132" s="60"/>
      <c r="H132" s="43" t="str" cm="1">
        <f t="array" ref="H132">IF(OR(F132="", G132=""), "",
  _xlfn.LET(
    _xlpm.rowIndex, MATCH(F132, INDEX(IncomeTable,,1), 0),
    _xlpm.thresholds, INDEX(IncomeTable, _xlpm.rowIndex, 2):INDEX(IncomeTable, _xlpm.rowIndex, 8),
    _xlpm.labels, {20,30,40,50,60,70,80},
    _xlpm.income, G132,
    IF(_xlpm.income &lt; INDEX(_xlpm.thresholds,1), "Below 20%",
      IF(_xlpm.income &gt; INDEX(_xlpm.thresholds,7), "Above 80%",
        INDEX(_xlpm.labels, _xlfn.XLOOKUP(_xlpm.income, _xlpm.thresholds, _xlfn.SEQUENCE(1,7), , -1))
      )
    )
  )
)</f>
        <v/>
      </c>
      <c r="I132" s="42" t="str">
        <f t="shared" si="6"/>
        <v/>
      </c>
      <c r="J132" s="61"/>
      <c r="K132" s="61"/>
      <c r="L132" s="61"/>
      <c r="M132" s="61"/>
      <c r="N132" s="47" t="str">
        <f t="shared" si="5"/>
        <v/>
      </c>
      <c r="O132" s="48" t="str">
        <f>IF(OR(C132="", B132=""), "",
  INDEX(RentTable, MATCH(B132, {0,1,2,3,4}, 0), MATCH(C132, {20,30,40,50,60,70,80}, 1))
)</f>
        <v/>
      </c>
      <c r="P132" s="60"/>
      <c r="Q132" s="48" t="str">
        <f t="shared" si="7"/>
        <v/>
      </c>
      <c r="R132" s="60"/>
      <c r="S132" s="60"/>
      <c r="T132" s="48" t="str">
        <f t="shared" si="4"/>
        <v/>
      </c>
      <c r="U132" s="42" t="str" cm="1">
        <f t="array" ref="U132">_xlfn.IFS(OR(Q132="", T132="", Q132=0, "", T132=0), "", AND(T132&lt;=Q132,D132&lt;=Q132), "Y", OR(T132&gt;Q132,D132&gt;Q132), "N")</f>
        <v/>
      </c>
      <c r="V132" s="62"/>
      <c r="W132" s="63"/>
    </row>
    <row r="133" spans="1:23" x14ac:dyDescent="0.25">
      <c r="A133" s="58"/>
      <c r="B133" s="59"/>
      <c r="C133" s="59"/>
      <c r="D133" s="60"/>
      <c r="E133" s="59"/>
      <c r="F133" s="59"/>
      <c r="G133" s="60"/>
      <c r="H133" s="43" t="str" cm="1">
        <f t="array" ref="H133">IF(OR(F133="", G133=""), "",
  _xlfn.LET(
    _xlpm.rowIndex, MATCH(F133, INDEX(IncomeTable,,1), 0),
    _xlpm.thresholds, INDEX(IncomeTable, _xlpm.rowIndex, 2):INDEX(IncomeTable, _xlpm.rowIndex, 8),
    _xlpm.labels, {20,30,40,50,60,70,80},
    _xlpm.income, G133,
    IF(_xlpm.income &lt; INDEX(_xlpm.thresholds,1), "Below 20%",
      IF(_xlpm.income &gt; INDEX(_xlpm.thresholds,7), "Above 80%",
        INDEX(_xlpm.labels, _xlfn.XLOOKUP(_xlpm.income, _xlpm.thresholds, _xlfn.SEQUENCE(1,7), , -1))
      )
    )
  )
)</f>
        <v/>
      </c>
      <c r="I133" s="42" t="str">
        <f t="shared" si="6"/>
        <v/>
      </c>
      <c r="J133" s="61"/>
      <c r="K133" s="61"/>
      <c r="L133" s="61"/>
      <c r="M133" s="61"/>
      <c r="N133" s="47" t="str">
        <f t="shared" si="5"/>
        <v/>
      </c>
      <c r="O133" s="48" t="str">
        <f>IF(OR(C133="", B133=""), "",
  INDEX(RentTable, MATCH(B133, {0,1,2,3,4}, 0), MATCH(C133, {20,30,40,50,60,70,80}, 1))
)</f>
        <v/>
      </c>
      <c r="P133" s="60"/>
      <c r="Q133" s="48" t="str">
        <f t="shared" si="7"/>
        <v/>
      </c>
      <c r="R133" s="60"/>
      <c r="S133" s="60"/>
      <c r="T133" s="48" t="str">
        <f t="shared" si="4"/>
        <v/>
      </c>
      <c r="U133" s="42" t="str" cm="1">
        <f t="array" ref="U133">_xlfn.IFS(OR(Q133="", T133="", Q133=0, "", T133=0), "", AND(T133&lt;=Q133,D133&lt;=Q133), "Y", OR(T133&gt;Q133,D133&gt;Q133), "N")</f>
        <v/>
      </c>
      <c r="V133" s="62"/>
      <c r="W133" s="63"/>
    </row>
    <row r="134" spans="1:23" x14ac:dyDescent="0.25">
      <c r="A134" s="58"/>
      <c r="B134" s="59"/>
      <c r="C134" s="59"/>
      <c r="D134" s="60"/>
      <c r="E134" s="59"/>
      <c r="F134" s="59"/>
      <c r="G134" s="60"/>
      <c r="H134" s="43" t="str" cm="1">
        <f t="array" ref="H134">IF(OR(F134="", G134=""), "",
  _xlfn.LET(
    _xlpm.rowIndex, MATCH(F134, INDEX(IncomeTable,,1), 0),
    _xlpm.thresholds, INDEX(IncomeTable, _xlpm.rowIndex, 2):INDEX(IncomeTable, _xlpm.rowIndex, 8),
    _xlpm.labels, {20,30,40,50,60,70,80},
    _xlpm.income, G134,
    IF(_xlpm.income &lt; INDEX(_xlpm.thresholds,1), "Below 20%",
      IF(_xlpm.income &gt; INDEX(_xlpm.thresholds,7), "Above 80%",
        INDEX(_xlpm.labels, _xlfn.XLOOKUP(_xlpm.income, _xlpm.thresholds, _xlfn.SEQUENCE(1,7), , -1))
      )
    )
  )
)</f>
        <v/>
      </c>
      <c r="I134" s="42" t="str">
        <f t="shared" si="6"/>
        <v/>
      </c>
      <c r="J134" s="61"/>
      <c r="K134" s="61"/>
      <c r="L134" s="61"/>
      <c r="M134" s="61"/>
      <c r="N134" s="47" t="str">
        <f t="shared" si="5"/>
        <v/>
      </c>
      <c r="O134" s="48" t="str">
        <f>IF(OR(C134="", B134=""), "",
  INDEX(RentTable, MATCH(B134, {0,1,2,3,4}, 0), MATCH(C134, {20,30,40,50,60,70,80}, 1))
)</f>
        <v/>
      </c>
      <c r="P134" s="60"/>
      <c r="Q134" s="48" t="str">
        <f t="shared" si="7"/>
        <v/>
      </c>
      <c r="R134" s="60"/>
      <c r="S134" s="60"/>
      <c r="T134" s="48" t="str">
        <f t="shared" si="4"/>
        <v/>
      </c>
      <c r="U134" s="42" t="str" cm="1">
        <f t="array" ref="U134">_xlfn.IFS(OR(Q134="", T134="", Q134=0, "", T134=0), "", AND(T134&lt;=Q134,D134&lt;=Q134), "Y", OR(T134&gt;Q134,D134&gt;Q134), "N")</f>
        <v/>
      </c>
      <c r="V134" s="62"/>
      <c r="W134" s="63"/>
    </row>
    <row r="135" spans="1:23" x14ac:dyDescent="0.25">
      <c r="A135" s="58"/>
      <c r="B135" s="59"/>
      <c r="C135" s="59"/>
      <c r="D135" s="60"/>
      <c r="E135" s="59"/>
      <c r="F135" s="59"/>
      <c r="G135" s="60"/>
      <c r="H135" s="43" t="str" cm="1">
        <f t="array" ref="H135">IF(OR(F135="", G135=""), "",
  _xlfn.LET(
    _xlpm.rowIndex, MATCH(F135, INDEX(IncomeTable,,1), 0),
    _xlpm.thresholds, INDEX(IncomeTable, _xlpm.rowIndex, 2):INDEX(IncomeTable, _xlpm.rowIndex, 8),
    _xlpm.labels, {20,30,40,50,60,70,80},
    _xlpm.income, G135,
    IF(_xlpm.income &lt; INDEX(_xlpm.thresholds,1), "Below 20%",
      IF(_xlpm.income &gt; INDEX(_xlpm.thresholds,7), "Above 80%",
        INDEX(_xlpm.labels, _xlfn.XLOOKUP(_xlpm.income, _xlpm.thresholds, _xlfn.SEQUENCE(1,7), , -1))
      )
    )
  )
)</f>
        <v/>
      </c>
      <c r="I135" s="42" t="str">
        <f t="shared" si="6"/>
        <v/>
      </c>
      <c r="J135" s="61"/>
      <c r="K135" s="61"/>
      <c r="L135" s="61"/>
      <c r="M135" s="61"/>
      <c r="N135" s="47" t="str">
        <f t="shared" si="5"/>
        <v/>
      </c>
      <c r="O135" s="48" t="str">
        <f>IF(OR(C135="", B135=""), "",
  INDEX(RentTable, MATCH(B135, {0,1,2,3,4}, 0), MATCH(C135, {20,30,40,50,60,70,80}, 1))
)</f>
        <v/>
      </c>
      <c r="P135" s="60"/>
      <c r="Q135" s="48" t="str">
        <f t="shared" si="7"/>
        <v/>
      </c>
      <c r="R135" s="60"/>
      <c r="S135" s="60"/>
      <c r="T135" s="48" t="str">
        <f t="shared" si="4"/>
        <v/>
      </c>
      <c r="U135" s="42" t="str" cm="1">
        <f t="array" ref="U135">_xlfn.IFS(OR(Q135="", T135="", Q135=0, "", T135=0), "", AND(T135&lt;=Q135,D135&lt;=Q135), "Y", OR(T135&gt;Q135,D135&gt;Q135), "N")</f>
        <v/>
      </c>
      <c r="V135" s="62"/>
      <c r="W135" s="63"/>
    </row>
    <row r="136" spans="1:23" x14ac:dyDescent="0.25">
      <c r="A136" s="58"/>
      <c r="B136" s="59"/>
      <c r="C136" s="59"/>
      <c r="D136" s="60"/>
      <c r="E136" s="59"/>
      <c r="F136" s="59"/>
      <c r="G136" s="60"/>
      <c r="H136" s="43" t="str" cm="1">
        <f t="array" ref="H136">IF(OR(F136="", G136=""), "",
  _xlfn.LET(
    _xlpm.rowIndex, MATCH(F136, INDEX(IncomeTable,,1), 0),
    _xlpm.thresholds, INDEX(IncomeTable, _xlpm.rowIndex, 2):INDEX(IncomeTable, _xlpm.rowIndex, 8),
    _xlpm.labels, {20,30,40,50,60,70,80},
    _xlpm.income, G136,
    IF(_xlpm.income &lt; INDEX(_xlpm.thresholds,1), "Below 20%",
      IF(_xlpm.income &gt; INDEX(_xlpm.thresholds,7), "Above 80%",
        INDEX(_xlpm.labels, _xlfn.XLOOKUP(_xlpm.income, _xlpm.thresholds, _xlfn.SEQUENCE(1,7), , -1))
      )
    )
  )
)</f>
        <v/>
      </c>
      <c r="I136" s="42" t="str">
        <f t="shared" si="6"/>
        <v/>
      </c>
      <c r="J136" s="61"/>
      <c r="K136" s="61"/>
      <c r="L136" s="61"/>
      <c r="M136" s="61"/>
      <c r="N136" s="47" t="str">
        <f t="shared" si="5"/>
        <v/>
      </c>
      <c r="O136" s="48" t="str">
        <f>IF(OR(C136="", B136=""), "",
  INDEX(RentTable, MATCH(B136, {0,1,2,3,4}, 0), MATCH(C136, {20,30,40,50,60,70,80}, 1))
)</f>
        <v/>
      </c>
      <c r="P136" s="60"/>
      <c r="Q136" s="48" t="str">
        <f t="shared" si="7"/>
        <v/>
      </c>
      <c r="R136" s="60"/>
      <c r="S136" s="60"/>
      <c r="T136" s="48" t="str">
        <f t="shared" si="4"/>
        <v/>
      </c>
      <c r="U136" s="42" t="str" cm="1">
        <f t="array" ref="U136">_xlfn.IFS(OR(Q136="", T136="", Q136=0, "", T136=0), "", AND(T136&lt;=Q136,D136&lt;=Q136), "Y", OR(T136&gt;Q136,D136&gt;Q136), "N")</f>
        <v/>
      </c>
      <c r="V136" s="62"/>
      <c r="W136" s="63"/>
    </row>
    <row r="137" spans="1:23" x14ac:dyDescent="0.25">
      <c r="A137" s="58"/>
      <c r="B137" s="59"/>
      <c r="C137" s="59"/>
      <c r="D137" s="60"/>
      <c r="E137" s="59"/>
      <c r="F137" s="59"/>
      <c r="G137" s="60"/>
      <c r="H137" s="43" t="str" cm="1">
        <f t="array" ref="H137">IF(OR(F137="", G137=""), "",
  _xlfn.LET(
    _xlpm.rowIndex, MATCH(F137, INDEX(IncomeTable,,1), 0),
    _xlpm.thresholds, INDEX(IncomeTable, _xlpm.rowIndex, 2):INDEX(IncomeTable, _xlpm.rowIndex, 8),
    _xlpm.labels, {20,30,40,50,60,70,80},
    _xlpm.income, G137,
    IF(_xlpm.income &lt; INDEX(_xlpm.thresholds,1), "Below 20%",
      IF(_xlpm.income &gt; INDEX(_xlpm.thresholds,7), "Above 80%",
        INDEX(_xlpm.labels, _xlfn.XLOOKUP(_xlpm.income, _xlpm.thresholds, _xlfn.SEQUENCE(1,7), , -1))
      )
    )
  )
)</f>
        <v/>
      </c>
      <c r="I137" s="42" t="str">
        <f t="shared" si="6"/>
        <v/>
      </c>
      <c r="J137" s="61"/>
      <c r="K137" s="61"/>
      <c r="L137" s="61"/>
      <c r="M137" s="61"/>
      <c r="N137" s="47" t="str">
        <f t="shared" si="5"/>
        <v/>
      </c>
      <c r="O137" s="48" t="str">
        <f>IF(OR(C137="", B137=""), "",
  INDEX(RentTable, MATCH(B137, {0,1,2,3,4}, 0), MATCH(C137, {20,30,40,50,60,70,80}, 1))
)</f>
        <v/>
      </c>
      <c r="P137" s="60"/>
      <c r="Q137" s="48" t="str">
        <f t="shared" si="7"/>
        <v/>
      </c>
      <c r="R137" s="60"/>
      <c r="S137" s="60"/>
      <c r="T137" s="48" t="str">
        <f t="shared" si="4"/>
        <v/>
      </c>
      <c r="U137" s="42" t="str" cm="1">
        <f t="array" ref="U137">_xlfn.IFS(OR(Q137="", T137="", Q137=0, "", T137=0), "", AND(T137&lt;=Q137,D137&lt;=Q137), "Y", OR(T137&gt;Q137,D137&gt;Q137), "N")</f>
        <v/>
      </c>
      <c r="V137" s="62"/>
      <c r="W137" s="63"/>
    </row>
    <row r="138" spans="1:23" x14ac:dyDescent="0.25">
      <c r="A138" s="58"/>
      <c r="B138" s="59"/>
      <c r="C138" s="59"/>
      <c r="D138" s="60"/>
      <c r="E138" s="59"/>
      <c r="F138" s="59"/>
      <c r="G138" s="60"/>
      <c r="H138" s="43" t="str" cm="1">
        <f t="array" ref="H138">IF(OR(F138="", G138=""), "",
  _xlfn.LET(
    _xlpm.rowIndex, MATCH(F138, INDEX(IncomeTable,,1), 0),
    _xlpm.thresholds, INDEX(IncomeTable, _xlpm.rowIndex, 2):INDEX(IncomeTable, _xlpm.rowIndex, 8),
    _xlpm.labels, {20,30,40,50,60,70,80},
    _xlpm.income, G138,
    IF(_xlpm.income &lt; INDEX(_xlpm.thresholds,1), "Below 20%",
      IF(_xlpm.income &gt; INDEX(_xlpm.thresholds,7), "Above 80%",
        INDEX(_xlpm.labels, _xlfn.XLOOKUP(_xlpm.income, _xlpm.thresholds, _xlfn.SEQUENCE(1,7), , -1))
      )
    )
  )
)</f>
        <v/>
      </c>
      <c r="I138" s="42" t="str">
        <f t="shared" si="6"/>
        <v/>
      </c>
      <c r="J138" s="61"/>
      <c r="K138" s="61"/>
      <c r="L138" s="61"/>
      <c r="M138" s="61"/>
      <c r="N138" s="47" t="str">
        <f t="shared" si="5"/>
        <v/>
      </c>
      <c r="O138" s="48" t="str">
        <f>IF(OR(C138="", B138=""), "",
  INDEX(RentTable, MATCH(B138, {0,1,2,3,4}, 0), MATCH(C138, {20,30,40,50,60,70,80}, 1))
)</f>
        <v/>
      </c>
      <c r="P138" s="60"/>
      <c r="Q138" s="48" t="str">
        <f t="shared" si="7"/>
        <v/>
      </c>
      <c r="R138" s="60"/>
      <c r="S138" s="60"/>
      <c r="T138" s="48" t="str">
        <f t="shared" si="4"/>
        <v/>
      </c>
      <c r="U138" s="42" t="str" cm="1">
        <f t="array" ref="U138">_xlfn.IFS(OR(Q138="", T138="", Q138=0, "", T138=0), "", AND(T138&lt;=Q138,D138&lt;=Q138), "Y", OR(T138&gt;Q138,D138&gt;Q138), "N")</f>
        <v/>
      </c>
      <c r="V138" s="62"/>
      <c r="W138" s="63"/>
    </row>
    <row r="139" spans="1:23" x14ac:dyDescent="0.25">
      <c r="A139" s="58"/>
      <c r="B139" s="59"/>
      <c r="C139" s="59"/>
      <c r="D139" s="60"/>
      <c r="E139" s="59"/>
      <c r="F139" s="59"/>
      <c r="G139" s="60"/>
      <c r="H139" s="43" t="str" cm="1">
        <f t="array" ref="H139">IF(OR(F139="", G139=""), "",
  _xlfn.LET(
    _xlpm.rowIndex, MATCH(F139, INDEX(IncomeTable,,1), 0),
    _xlpm.thresholds, INDEX(IncomeTable, _xlpm.rowIndex, 2):INDEX(IncomeTable, _xlpm.rowIndex, 8),
    _xlpm.labels, {20,30,40,50,60,70,80},
    _xlpm.income, G139,
    IF(_xlpm.income &lt; INDEX(_xlpm.thresholds,1), "Below 20%",
      IF(_xlpm.income &gt; INDEX(_xlpm.thresholds,7), "Above 80%",
        INDEX(_xlpm.labels, _xlfn.XLOOKUP(_xlpm.income, _xlpm.thresholds, _xlfn.SEQUENCE(1,7), , -1))
      )
    )
  )
)</f>
        <v/>
      </c>
      <c r="I139" s="42" t="str">
        <f t="shared" si="6"/>
        <v/>
      </c>
      <c r="J139" s="61"/>
      <c r="K139" s="61"/>
      <c r="L139" s="61"/>
      <c r="M139" s="61"/>
      <c r="N139" s="47" t="str">
        <f t="shared" si="5"/>
        <v/>
      </c>
      <c r="O139" s="48" t="str">
        <f>IF(OR(C139="", B139=""), "",
  INDEX(RentTable, MATCH(B139, {0,1,2,3,4}, 0), MATCH(C139, {20,30,40,50,60,70,80}, 1))
)</f>
        <v/>
      </c>
      <c r="P139" s="60"/>
      <c r="Q139" s="48" t="str">
        <f t="shared" si="7"/>
        <v/>
      </c>
      <c r="R139" s="60"/>
      <c r="S139" s="60"/>
      <c r="T139" s="48" t="str">
        <f t="shared" si="4"/>
        <v/>
      </c>
      <c r="U139" s="42" t="str" cm="1">
        <f t="array" ref="U139">_xlfn.IFS(OR(Q139="", T139="", Q139=0, "", T139=0), "", AND(T139&lt;=Q139,D139&lt;=Q139), "Y", OR(T139&gt;Q139,D139&gt;Q139), "N")</f>
        <v/>
      </c>
      <c r="V139" s="62"/>
      <c r="W139" s="63"/>
    </row>
    <row r="140" spans="1:23" x14ac:dyDescent="0.25">
      <c r="A140" s="58"/>
      <c r="B140" s="59"/>
      <c r="C140" s="59"/>
      <c r="D140" s="60"/>
      <c r="E140" s="59"/>
      <c r="F140" s="59"/>
      <c r="G140" s="60"/>
      <c r="H140" s="43" t="str" cm="1">
        <f t="array" ref="H140">IF(OR(F140="", G140=""), "",
  _xlfn.LET(
    _xlpm.rowIndex, MATCH(F140, INDEX(IncomeTable,,1), 0),
    _xlpm.thresholds, INDEX(IncomeTable, _xlpm.rowIndex, 2):INDEX(IncomeTable, _xlpm.rowIndex, 8),
    _xlpm.labels, {20,30,40,50,60,70,80},
    _xlpm.income, G140,
    IF(_xlpm.income &lt; INDEX(_xlpm.thresholds,1), "Below 20%",
      IF(_xlpm.income &gt; INDEX(_xlpm.thresholds,7), "Above 80%",
        INDEX(_xlpm.labels, _xlfn.XLOOKUP(_xlpm.income, _xlpm.thresholds, _xlfn.SEQUENCE(1,7), , -1))
      )
    )
  )
)</f>
        <v/>
      </c>
      <c r="I140" s="42" t="str">
        <f t="shared" si="6"/>
        <v/>
      </c>
      <c r="J140" s="61"/>
      <c r="K140" s="61"/>
      <c r="L140" s="61"/>
      <c r="M140" s="61"/>
      <c r="N140" s="47" t="str">
        <f t="shared" si="5"/>
        <v/>
      </c>
      <c r="O140" s="48" t="str">
        <f>IF(OR(C140="", B140=""), "",
  INDEX(RentTable, MATCH(B140, {0,1,2,3,4}, 0), MATCH(C140, {20,30,40,50,60,70,80}, 1))
)</f>
        <v/>
      </c>
      <c r="P140" s="60"/>
      <c r="Q140" s="48" t="str">
        <f t="shared" si="7"/>
        <v/>
      </c>
      <c r="R140" s="60"/>
      <c r="S140" s="60"/>
      <c r="T140" s="48" t="str">
        <f t="shared" si="4"/>
        <v/>
      </c>
      <c r="U140" s="42" t="str" cm="1">
        <f t="array" ref="U140">_xlfn.IFS(OR(Q140="", T140="", Q140=0, "", T140=0), "", AND(T140&lt;=Q140,D140&lt;=Q140), "Y", OR(T140&gt;Q140,D140&gt;Q140), "N")</f>
        <v/>
      </c>
      <c r="V140" s="62"/>
      <c r="W140" s="63"/>
    </row>
    <row r="141" spans="1:23" x14ac:dyDescent="0.25">
      <c r="A141" s="58"/>
      <c r="B141" s="59"/>
      <c r="C141" s="59"/>
      <c r="D141" s="60"/>
      <c r="E141" s="59"/>
      <c r="F141" s="59"/>
      <c r="G141" s="60"/>
      <c r="H141" s="43" t="str" cm="1">
        <f t="array" ref="H141">IF(OR(F141="", G141=""), "",
  _xlfn.LET(
    _xlpm.rowIndex, MATCH(F141, INDEX(IncomeTable,,1), 0),
    _xlpm.thresholds, INDEX(IncomeTable, _xlpm.rowIndex, 2):INDEX(IncomeTable, _xlpm.rowIndex, 8),
    _xlpm.labels, {20,30,40,50,60,70,80},
    _xlpm.income, G141,
    IF(_xlpm.income &lt; INDEX(_xlpm.thresholds,1), "Below 20%",
      IF(_xlpm.income &gt; INDEX(_xlpm.thresholds,7), "Above 80%",
        INDEX(_xlpm.labels, _xlfn.XLOOKUP(_xlpm.income, _xlpm.thresholds, _xlfn.SEQUENCE(1,7), , -1))
      )
    )
  )
)</f>
        <v/>
      </c>
      <c r="I141" s="42" t="str">
        <f t="shared" si="6"/>
        <v/>
      </c>
      <c r="J141" s="61"/>
      <c r="K141" s="61"/>
      <c r="L141" s="61"/>
      <c r="M141" s="61"/>
      <c r="N141" s="47" t="str">
        <f t="shared" si="5"/>
        <v/>
      </c>
      <c r="O141" s="48" t="str">
        <f>IF(OR(C141="", B141=""), "",
  INDEX(RentTable, MATCH(B141, {0,1,2,3,4}, 0), MATCH(C141, {20,30,40,50,60,70,80}, 1))
)</f>
        <v/>
      </c>
      <c r="P141" s="60"/>
      <c r="Q141" s="48" t="str">
        <f t="shared" si="7"/>
        <v/>
      </c>
      <c r="R141" s="60"/>
      <c r="S141" s="60"/>
      <c r="T141" s="48" t="str">
        <f t="shared" si="4"/>
        <v/>
      </c>
      <c r="U141" s="42" t="str" cm="1">
        <f t="array" ref="U141">_xlfn.IFS(OR(Q141="", T141="", Q141=0, "", T141=0), "", AND(T141&lt;=Q141,D141&lt;=Q141), "Y", OR(T141&gt;Q141,D141&gt;Q141), "N")</f>
        <v/>
      </c>
      <c r="V141" s="62"/>
      <c r="W141" s="63"/>
    </row>
    <row r="142" spans="1:23" x14ac:dyDescent="0.25">
      <c r="A142" s="58"/>
      <c r="B142" s="59"/>
      <c r="C142" s="59"/>
      <c r="D142" s="60"/>
      <c r="E142" s="59"/>
      <c r="F142" s="59"/>
      <c r="G142" s="60"/>
      <c r="H142" s="43" t="str" cm="1">
        <f t="array" ref="H142">IF(OR(F142="", G142=""), "",
  _xlfn.LET(
    _xlpm.rowIndex, MATCH(F142, INDEX(IncomeTable,,1), 0),
    _xlpm.thresholds, INDEX(IncomeTable, _xlpm.rowIndex, 2):INDEX(IncomeTable, _xlpm.rowIndex, 8),
    _xlpm.labels, {20,30,40,50,60,70,80},
    _xlpm.income, G142,
    IF(_xlpm.income &lt; INDEX(_xlpm.thresholds,1), "Below 20%",
      IF(_xlpm.income &gt; INDEX(_xlpm.thresholds,7), "Above 80%",
        INDEX(_xlpm.labels, _xlfn.XLOOKUP(_xlpm.income, _xlpm.thresholds, _xlfn.SEQUENCE(1,7), , -1))
      )
    )
  )
)</f>
        <v/>
      </c>
      <c r="I142" s="42" t="str">
        <f t="shared" si="6"/>
        <v/>
      </c>
      <c r="J142" s="61"/>
      <c r="K142" s="61"/>
      <c r="L142" s="61"/>
      <c r="M142" s="61"/>
      <c r="N142" s="47" t="str">
        <f t="shared" si="5"/>
        <v/>
      </c>
      <c r="O142" s="48" t="str">
        <f>IF(OR(C142="", B142=""), "",
  INDEX(RentTable, MATCH(B142, {0,1,2,3,4}, 0), MATCH(C142, {20,30,40,50,60,70,80}, 1))
)</f>
        <v/>
      </c>
      <c r="P142" s="60"/>
      <c r="Q142" s="48" t="str">
        <f t="shared" si="7"/>
        <v/>
      </c>
      <c r="R142" s="60"/>
      <c r="S142" s="60"/>
      <c r="T142" s="48" t="str">
        <f t="shared" si="4"/>
        <v/>
      </c>
      <c r="U142" s="42" t="str" cm="1">
        <f t="array" ref="U142">_xlfn.IFS(OR(Q142="", T142="", Q142=0, "", T142=0), "", AND(T142&lt;=Q142,D142&lt;=Q142), "Y", OR(T142&gt;Q142,D142&gt;Q142), "N")</f>
        <v/>
      </c>
      <c r="V142" s="62"/>
      <c r="W142" s="63"/>
    </row>
    <row r="143" spans="1:23" x14ac:dyDescent="0.25">
      <c r="A143" s="58"/>
      <c r="B143" s="59"/>
      <c r="C143" s="59"/>
      <c r="D143" s="60"/>
      <c r="E143" s="59"/>
      <c r="F143" s="59"/>
      <c r="G143" s="60"/>
      <c r="H143" s="43" t="str" cm="1">
        <f t="array" ref="H143">IF(OR(F143="", G143=""), "",
  _xlfn.LET(
    _xlpm.rowIndex, MATCH(F143, INDEX(IncomeTable,,1), 0),
    _xlpm.thresholds, INDEX(IncomeTable, _xlpm.rowIndex, 2):INDEX(IncomeTable, _xlpm.rowIndex, 8),
    _xlpm.labels, {20,30,40,50,60,70,80},
    _xlpm.income, G143,
    IF(_xlpm.income &lt; INDEX(_xlpm.thresholds,1), "Below 20%",
      IF(_xlpm.income &gt; INDEX(_xlpm.thresholds,7), "Above 80%",
        INDEX(_xlpm.labels, _xlfn.XLOOKUP(_xlpm.income, _xlpm.thresholds, _xlfn.SEQUENCE(1,7), , -1))
      )
    )
  )
)</f>
        <v/>
      </c>
      <c r="I143" s="42" t="str">
        <f t="shared" si="6"/>
        <v/>
      </c>
      <c r="J143" s="61"/>
      <c r="K143" s="61"/>
      <c r="L143" s="61"/>
      <c r="M143" s="61"/>
      <c r="N143" s="47" t="str">
        <f t="shared" si="5"/>
        <v/>
      </c>
      <c r="O143" s="48" t="str">
        <f>IF(OR(C143="", B143=""), "",
  INDEX(RentTable, MATCH(B143, {0,1,2,3,4}, 0), MATCH(C143, {20,30,40,50,60,70,80}, 1))
)</f>
        <v/>
      </c>
      <c r="P143" s="60"/>
      <c r="Q143" s="48" t="str">
        <f t="shared" si="7"/>
        <v/>
      </c>
      <c r="R143" s="60"/>
      <c r="S143" s="60"/>
      <c r="T143" s="48" t="str">
        <f t="shared" si="4"/>
        <v/>
      </c>
      <c r="U143" s="42" t="str" cm="1">
        <f t="array" ref="U143">_xlfn.IFS(OR(Q143="", T143="", Q143=0, "", T143=0), "", AND(T143&lt;=Q143,D143&lt;=Q143), "Y", OR(T143&gt;Q143,D143&gt;Q143), "N")</f>
        <v/>
      </c>
      <c r="V143" s="62"/>
      <c r="W143" s="63"/>
    </row>
    <row r="144" spans="1:23" x14ac:dyDescent="0.25">
      <c r="A144" s="58"/>
      <c r="B144" s="59"/>
      <c r="C144" s="59"/>
      <c r="D144" s="60"/>
      <c r="E144" s="59"/>
      <c r="F144" s="59"/>
      <c r="G144" s="60"/>
      <c r="H144" s="43" t="str" cm="1">
        <f t="array" ref="H144">IF(OR(F144="", G144=""), "",
  _xlfn.LET(
    _xlpm.rowIndex, MATCH(F144, INDEX(IncomeTable,,1), 0),
    _xlpm.thresholds, INDEX(IncomeTable, _xlpm.rowIndex, 2):INDEX(IncomeTable, _xlpm.rowIndex, 8),
    _xlpm.labels, {20,30,40,50,60,70,80},
    _xlpm.income, G144,
    IF(_xlpm.income &lt; INDEX(_xlpm.thresholds,1), "Below 20%",
      IF(_xlpm.income &gt; INDEX(_xlpm.thresholds,7), "Above 80%",
        INDEX(_xlpm.labels, _xlfn.XLOOKUP(_xlpm.income, _xlpm.thresholds, _xlfn.SEQUENCE(1,7), , -1))
      )
    )
  )
)</f>
        <v/>
      </c>
      <c r="I144" s="42" t="str">
        <f t="shared" si="6"/>
        <v/>
      </c>
      <c r="J144" s="61"/>
      <c r="K144" s="61"/>
      <c r="L144" s="61"/>
      <c r="M144" s="61"/>
      <c r="N144" s="47" t="str">
        <f t="shared" si="5"/>
        <v/>
      </c>
      <c r="O144" s="48" t="str">
        <f>IF(OR(C144="", B144=""), "",
  INDEX(RentTable, MATCH(B144, {0,1,2,3,4}, 0), MATCH(C144, {20,30,40,50,60,70,80}, 1))
)</f>
        <v/>
      </c>
      <c r="P144" s="60"/>
      <c r="Q144" s="48" t="str">
        <f t="shared" si="7"/>
        <v/>
      </c>
      <c r="R144" s="60"/>
      <c r="S144" s="60"/>
      <c r="T144" s="48" t="str">
        <f t="shared" si="4"/>
        <v/>
      </c>
      <c r="U144" s="42" t="str" cm="1">
        <f t="array" ref="U144">_xlfn.IFS(OR(Q144="", T144="", Q144=0, "", T144=0), "", AND(T144&lt;=Q144,D144&lt;=Q144), "Y", OR(T144&gt;Q144,D144&gt;Q144), "N")</f>
        <v/>
      </c>
      <c r="V144" s="62"/>
      <c r="W144" s="63"/>
    </row>
    <row r="145" spans="1:23" x14ac:dyDescent="0.25">
      <c r="A145" s="58"/>
      <c r="B145" s="59"/>
      <c r="C145" s="59"/>
      <c r="D145" s="60"/>
      <c r="E145" s="59"/>
      <c r="F145" s="59"/>
      <c r="G145" s="60"/>
      <c r="H145" s="43" t="str" cm="1">
        <f t="array" ref="H145">IF(OR(F145="", G145=""), "",
  _xlfn.LET(
    _xlpm.rowIndex, MATCH(F145, INDEX(IncomeTable,,1), 0),
    _xlpm.thresholds, INDEX(IncomeTable, _xlpm.rowIndex, 2):INDEX(IncomeTable, _xlpm.rowIndex, 8),
    _xlpm.labels, {20,30,40,50,60,70,80},
    _xlpm.income, G145,
    IF(_xlpm.income &lt; INDEX(_xlpm.thresholds,1), "Below 20%",
      IF(_xlpm.income &gt; INDEX(_xlpm.thresholds,7), "Above 80%",
        INDEX(_xlpm.labels, _xlfn.XLOOKUP(_xlpm.income, _xlpm.thresholds, _xlfn.SEQUENCE(1,7), , -1))
      )
    )
  )
)</f>
        <v/>
      </c>
      <c r="I145" s="42" t="str">
        <f t="shared" si="6"/>
        <v/>
      </c>
      <c r="J145" s="61"/>
      <c r="K145" s="61"/>
      <c r="L145" s="61"/>
      <c r="M145" s="61"/>
      <c r="N145" s="47" t="str">
        <f t="shared" si="5"/>
        <v/>
      </c>
      <c r="O145" s="48" t="str">
        <f>IF(OR(C145="", B145=""), "",
  INDEX(RentTable, MATCH(B145, {0,1,2,3,4}, 0), MATCH(C145, {20,30,40,50,60,70,80}, 1))
)</f>
        <v/>
      </c>
      <c r="P145" s="60"/>
      <c r="Q145" s="48" t="str">
        <f t="shared" si="7"/>
        <v/>
      </c>
      <c r="R145" s="60"/>
      <c r="S145" s="60"/>
      <c r="T145" s="48" t="str">
        <f t="shared" si="4"/>
        <v/>
      </c>
      <c r="U145" s="42" t="str" cm="1">
        <f t="array" ref="U145">_xlfn.IFS(OR(Q145="", T145="", Q145=0, "", T145=0), "", AND(T145&lt;=Q145,D145&lt;=Q145), "Y", OR(T145&gt;Q145,D145&gt;Q145), "N")</f>
        <v/>
      </c>
      <c r="V145" s="62"/>
      <c r="W145" s="63"/>
    </row>
    <row r="146" spans="1:23" x14ac:dyDescent="0.25">
      <c r="A146" s="58"/>
      <c r="B146" s="59"/>
      <c r="C146" s="59"/>
      <c r="D146" s="60"/>
      <c r="E146" s="59"/>
      <c r="F146" s="59"/>
      <c r="G146" s="60"/>
      <c r="H146" s="43" t="str" cm="1">
        <f t="array" ref="H146">IF(OR(F146="", G146=""), "",
  _xlfn.LET(
    _xlpm.rowIndex, MATCH(F146, INDEX(IncomeTable,,1), 0),
    _xlpm.thresholds, INDEX(IncomeTable, _xlpm.rowIndex, 2):INDEX(IncomeTable, _xlpm.rowIndex, 8),
    _xlpm.labels, {20,30,40,50,60,70,80},
    _xlpm.income, G146,
    IF(_xlpm.income &lt; INDEX(_xlpm.thresholds,1), "Below 20%",
      IF(_xlpm.income &gt; INDEX(_xlpm.thresholds,7), "Above 80%",
        INDEX(_xlpm.labels, _xlfn.XLOOKUP(_xlpm.income, _xlpm.thresholds, _xlfn.SEQUENCE(1,7), , -1))
      )
    )
  )
)</f>
        <v/>
      </c>
      <c r="I146" s="42" t="str">
        <f t="shared" si="6"/>
        <v/>
      </c>
      <c r="J146" s="61"/>
      <c r="K146" s="61"/>
      <c r="L146" s="61"/>
      <c r="M146" s="61"/>
      <c r="N146" s="47" t="str">
        <f t="shared" si="5"/>
        <v/>
      </c>
      <c r="O146" s="48" t="str">
        <f>IF(OR(C146="", B146=""), "",
  INDEX(RentTable, MATCH(B146, {0,1,2,3,4}, 0), MATCH(C146, {20,30,40,50,60,70,80}, 1))
)</f>
        <v/>
      </c>
      <c r="P146" s="60"/>
      <c r="Q146" s="48" t="str">
        <f t="shared" si="7"/>
        <v/>
      </c>
      <c r="R146" s="60"/>
      <c r="S146" s="60"/>
      <c r="T146" s="48" t="str">
        <f t="shared" si="4"/>
        <v/>
      </c>
      <c r="U146" s="42" t="str" cm="1">
        <f t="array" ref="U146">_xlfn.IFS(OR(Q146="", T146="", Q146=0, "", T146=0), "", AND(T146&lt;=Q146,D146&lt;=Q146), "Y", OR(T146&gt;Q146,D146&gt;Q146), "N")</f>
        <v/>
      </c>
      <c r="V146" s="62"/>
      <c r="W146" s="63"/>
    </row>
    <row r="147" spans="1:23" x14ac:dyDescent="0.25">
      <c r="A147" s="58"/>
      <c r="B147" s="59"/>
      <c r="C147" s="59"/>
      <c r="D147" s="60"/>
      <c r="E147" s="59"/>
      <c r="F147" s="59"/>
      <c r="G147" s="60"/>
      <c r="H147" s="43" t="str" cm="1">
        <f t="array" ref="H147">IF(OR(F147="", G147=""), "",
  _xlfn.LET(
    _xlpm.rowIndex, MATCH(F147, INDEX(IncomeTable,,1), 0),
    _xlpm.thresholds, INDEX(IncomeTable, _xlpm.rowIndex, 2):INDEX(IncomeTable, _xlpm.rowIndex, 8),
    _xlpm.labels, {20,30,40,50,60,70,80},
    _xlpm.income, G147,
    IF(_xlpm.income &lt; INDEX(_xlpm.thresholds,1), "Below 20%",
      IF(_xlpm.income &gt; INDEX(_xlpm.thresholds,7), "Above 80%",
        INDEX(_xlpm.labels, _xlfn.XLOOKUP(_xlpm.income, _xlpm.thresholds, _xlfn.SEQUENCE(1,7), , -1))
      )
    )
  )
)</f>
        <v/>
      </c>
      <c r="I147" s="42" t="str">
        <f t="shared" si="6"/>
        <v/>
      </c>
      <c r="J147" s="61"/>
      <c r="K147" s="61"/>
      <c r="L147" s="61"/>
      <c r="M147" s="61"/>
      <c r="N147" s="47" t="str">
        <f t="shared" si="5"/>
        <v/>
      </c>
      <c r="O147" s="48" t="str">
        <f>IF(OR(C147="", B147=""), "",
  INDEX(RentTable, MATCH(B147, {0,1,2,3,4}, 0), MATCH(C147, {20,30,40,50,60,70,80}, 1))
)</f>
        <v/>
      </c>
      <c r="P147" s="60"/>
      <c r="Q147" s="48" t="str">
        <f t="shared" si="7"/>
        <v/>
      </c>
      <c r="R147" s="60"/>
      <c r="S147" s="60"/>
      <c r="T147" s="48" t="str">
        <f t="shared" si="4"/>
        <v/>
      </c>
      <c r="U147" s="42" t="str" cm="1">
        <f t="array" ref="U147">_xlfn.IFS(OR(Q147="", T147="", Q147=0, "", T147=0), "", AND(T147&lt;=Q147,D147&lt;=Q147), "Y", OR(T147&gt;Q147,D147&gt;Q147), "N")</f>
        <v/>
      </c>
      <c r="V147" s="62"/>
      <c r="W147" s="63"/>
    </row>
    <row r="148" spans="1:23" x14ac:dyDescent="0.25">
      <c r="A148" s="58"/>
      <c r="B148" s="59"/>
      <c r="C148" s="59"/>
      <c r="D148" s="60"/>
      <c r="E148" s="59"/>
      <c r="F148" s="59"/>
      <c r="G148" s="60"/>
      <c r="H148" s="43" t="str" cm="1">
        <f t="array" ref="H148">IF(OR(F148="", G148=""), "",
  _xlfn.LET(
    _xlpm.rowIndex, MATCH(F148, INDEX(IncomeTable,,1), 0),
    _xlpm.thresholds, INDEX(IncomeTable, _xlpm.rowIndex, 2):INDEX(IncomeTable, _xlpm.rowIndex, 8),
    _xlpm.labels, {20,30,40,50,60,70,80},
    _xlpm.income, G148,
    IF(_xlpm.income &lt; INDEX(_xlpm.thresholds,1), "Below 20%",
      IF(_xlpm.income &gt; INDEX(_xlpm.thresholds,7), "Above 80%",
        INDEX(_xlpm.labels, _xlfn.XLOOKUP(_xlpm.income, _xlpm.thresholds, _xlfn.SEQUENCE(1,7), , -1))
      )
    )
  )
)</f>
        <v/>
      </c>
      <c r="I148" s="42" t="str">
        <f t="shared" si="6"/>
        <v/>
      </c>
      <c r="J148" s="61"/>
      <c r="K148" s="61"/>
      <c r="L148" s="61"/>
      <c r="M148" s="61"/>
      <c r="N148" s="47" t="str">
        <f t="shared" si="5"/>
        <v/>
      </c>
      <c r="O148" s="48" t="str">
        <f>IF(OR(C148="", B148=""), "",
  INDEX(RentTable, MATCH(B148, {0,1,2,3,4}, 0), MATCH(C148, {20,30,40,50,60,70,80}, 1))
)</f>
        <v/>
      </c>
      <c r="P148" s="60"/>
      <c r="Q148" s="48" t="str">
        <f t="shared" si="7"/>
        <v/>
      </c>
      <c r="R148" s="60"/>
      <c r="S148" s="60"/>
      <c r="T148" s="48" t="str">
        <f t="shared" si="4"/>
        <v/>
      </c>
      <c r="U148" s="42" t="str" cm="1">
        <f t="array" ref="U148">_xlfn.IFS(OR(Q148="", T148="", Q148=0, "", T148=0), "", AND(T148&lt;=Q148,D148&lt;=Q148), "Y", OR(T148&gt;Q148,D148&gt;Q148), "N")</f>
        <v/>
      </c>
      <c r="V148" s="62"/>
      <c r="W148" s="63"/>
    </row>
    <row r="149" spans="1:23" x14ac:dyDescent="0.25">
      <c r="A149" s="58"/>
      <c r="B149" s="59"/>
      <c r="C149" s="59"/>
      <c r="D149" s="60"/>
      <c r="E149" s="59"/>
      <c r="F149" s="59"/>
      <c r="G149" s="60"/>
      <c r="H149" s="43" t="str" cm="1">
        <f t="array" ref="H149">IF(OR(F149="", G149=""), "",
  _xlfn.LET(
    _xlpm.rowIndex, MATCH(F149, INDEX(IncomeTable,,1), 0),
    _xlpm.thresholds, INDEX(IncomeTable, _xlpm.rowIndex, 2):INDEX(IncomeTable, _xlpm.rowIndex, 8),
    _xlpm.labels, {20,30,40,50,60,70,80},
    _xlpm.income, G149,
    IF(_xlpm.income &lt; INDEX(_xlpm.thresholds,1), "Below 20%",
      IF(_xlpm.income &gt; INDEX(_xlpm.thresholds,7), "Above 80%",
        INDEX(_xlpm.labels, _xlfn.XLOOKUP(_xlpm.income, _xlpm.thresholds, _xlfn.SEQUENCE(1,7), , -1))
      )
    )
  )
)</f>
        <v/>
      </c>
      <c r="I149" s="42" t="str">
        <f t="shared" si="6"/>
        <v/>
      </c>
      <c r="J149" s="61"/>
      <c r="K149" s="61"/>
      <c r="L149" s="61"/>
      <c r="M149" s="61"/>
      <c r="N149" s="47" t="str">
        <f t="shared" si="5"/>
        <v/>
      </c>
      <c r="O149" s="48" t="str">
        <f>IF(OR(C149="", B149=""), "",
  INDEX(RentTable, MATCH(B149, {0,1,2,3,4}, 0), MATCH(C149, {20,30,40,50,60,70,80}, 1))
)</f>
        <v/>
      </c>
      <c r="P149" s="60"/>
      <c r="Q149" s="48" t="str">
        <f t="shared" si="7"/>
        <v/>
      </c>
      <c r="R149" s="60"/>
      <c r="S149" s="60"/>
      <c r="T149" s="48" t="str">
        <f t="shared" si="4"/>
        <v/>
      </c>
      <c r="U149" s="42" t="str" cm="1">
        <f t="array" ref="U149">_xlfn.IFS(OR(Q149="", T149="", Q149=0, "", T149=0), "", AND(T149&lt;=Q149,D149&lt;=Q149), "Y", OR(T149&gt;Q149,D149&gt;Q149), "N")</f>
        <v/>
      </c>
      <c r="V149" s="62"/>
      <c r="W149" s="63"/>
    </row>
    <row r="150" spans="1:23" x14ac:dyDescent="0.25">
      <c r="A150" s="58"/>
      <c r="B150" s="59"/>
      <c r="C150" s="59"/>
      <c r="D150" s="60"/>
      <c r="E150" s="59"/>
      <c r="F150" s="59"/>
      <c r="G150" s="60"/>
      <c r="H150" s="43" t="str" cm="1">
        <f t="array" ref="H150">IF(OR(F150="", G150=""), "",
  _xlfn.LET(
    _xlpm.rowIndex, MATCH(F150, INDEX(IncomeTable,,1), 0),
    _xlpm.thresholds, INDEX(IncomeTable, _xlpm.rowIndex, 2):INDEX(IncomeTable, _xlpm.rowIndex, 8),
    _xlpm.labels, {20,30,40,50,60,70,80},
    _xlpm.income, G150,
    IF(_xlpm.income &lt; INDEX(_xlpm.thresholds,1), "Below 20%",
      IF(_xlpm.income &gt; INDEX(_xlpm.thresholds,7), "Above 80%",
        INDEX(_xlpm.labels, _xlfn.XLOOKUP(_xlpm.income, _xlpm.thresholds, _xlfn.SEQUENCE(1,7), , -1))
      )
    )
  )
)</f>
        <v/>
      </c>
      <c r="I150" s="42" t="str">
        <f t="shared" si="6"/>
        <v/>
      </c>
      <c r="J150" s="61"/>
      <c r="K150" s="61"/>
      <c r="L150" s="61"/>
      <c r="M150" s="61"/>
      <c r="N150" s="47" t="str">
        <f t="shared" si="5"/>
        <v/>
      </c>
      <c r="O150" s="48" t="str">
        <f>IF(OR(C150="", B150=""), "",
  INDEX(RentTable, MATCH(B150, {0,1,2,3,4}, 0), MATCH(C150, {20,30,40,50,60,70,80}, 1))
)</f>
        <v/>
      </c>
      <c r="P150" s="60"/>
      <c r="Q150" s="48" t="str">
        <f t="shared" si="7"/>
        <v/>
      </c>
      <c r="R150" s="60"/>
      <c r="S150" s="60"/>
      <c r="T150" s="48" t="str">
        <f t="shared" si="4"/>
        <v/>
      </c>
      <c r="U150" s="42" t="str" cm="1">
        <f t="array" ref="U150">_xlfn.IFS(OR(Q150="", T150="", Q150=0, "", T150=0), "", AND(T150&lt;=Q150,D150&lt;=Q150), "Y", OR(T150&gt;Q150,D150&gt;Q150), "N")</f>
        <v/>
      </c>
      <c r="V150" s="62"/>
      <c r="W150" s="63"/>
    </row>
    <row r="151" spans="1:23" x14ac:dyDescent="0.25">
      <c r="A151" s="58"/>
      <c r="B151" s="59"/>
      <c r="C151" s="59"/>
      <c r="D151" s="60"/>
      <c r="E151" s="59"/>
      <c r="F151" s="59"/>
      <c r="G151" s="60"/>
      <c r="H151" s="43" t="str" cm="1">
        <f t="array" ref="H151">IF(OR(F151="", G151=""), "",
  _xlfn.LET(
    _xlpm.rowIndex, MATCH(F151, INDEX(IncomeTable,,1), 0),
    _xlpm.thresholds, INDEX(IncomeTable, _xlpm.rowIndex, 2):INDEX(IncomeTable, _xlpm.rowIndex, 8),
    _xlpm.labels, {20,30,40,50,60,70,80},
    _xlpm.income, G151,
    IF(_xlpm.income &lt; INDEX(_xlpm.thresholds,1), "Below 20%",
      IF(_xlpm.income &gt; INDEX(_xlpm.thresholds,7), "Above 80%",
        INDEX(_xlpm.labels, _xlfn.XLOOKUP(_xlpm.income, _xlpm.thresholds, _xlfn.SEQUENCE(1,7), , -1))
      )
    )
  )
)</f>
        <v/>
      </c>
      <c r="I151" s="42" t="str">
        <f t="shared" si="6"/>
        <v/>
      </c>
      <c r="J151" s="61"/>
      <c r="K151" s="61"/>
      <c r="L151" s="61"/>
      <c r="M151" s="61"/>
      <c r="N151" s="47" t="str">
        <f t="shared" si="5"/>
        <v/>
      </c>
      <c r="O151" s="48" t="str">
        <f>IF(OR(C151="", B151=""), "",
  INDEX(RentTable, MATCH(B151, {0,1,2,3,4}, 0), MATCH(C151, {20,30,40,50,60,70,80}, 1))
)</f>
        <v/>
      </c>
      <c r="P151" s="60"/>
      <c r="Q151" s="48" t="str">
        <f t="shared" si="7"/>
        <v/>
      </c>
      <c r="R151" s="60"/>
      <c r="S151" s="60"/>
      <c r="T151" s="48" t="str">
        <f t="shared" ref="T151:T214" si="8">IF(OR(R151=""), "", R151 + S151)</f>
        <v/>
      </c>
      <c r="U151" s="42" t="str" cm="1">
        <f t="array" ref="U151">_xlfn.IFS(OR(Q151="", T151="", Q151=0, "", T151=0), "", AND(T151&lt;=Q151,D151&lt;=Q151), "Y", OR(T151&gt;Q151,D151&gt;Q151), "N")</f>
        <v/>
      </c>
      <c r="V151" s="62"/>
      <c r="W151" s="63"/>
    </row>
    <row r="152" spans="1:23" x14ac:dyDescent="0.25">
      <c r="A152" s="58"/>
      <c r="B152" s="59"/>
      <c r="C152" s="59"/>
      <c r="D152" s="60"/>
      <c r="E152" s="59"/>
      <c r="F152" s="59"/>
      <c r="G152" s="60"/>
      <c r="H152" s="43" t="str" cm="1">
        <f t="array" ref="H152">IF(OR(F152="", G152=""), "",
  _xlfn.LET(
    _xlpm.rowIndex, MATCH(F152, INDEX(IncomeTable,,1), 0),
    _xlpm.thresholds, INDEX(IncomeTable, _xlpm.rowIndex, 2):INDEX(IncomeTable, _xlpm.rowIndex, 8),
    _xlpm.labels, {20,30,40,50,60,70,80},
    _xlpm.income, G152,
    IF(_xlpm.income &lt; INDEX(_xlpm.thresholds,1), "Below 20%",
      IF(_xlpm.income &gt; INDEX(_xlpm.thresholds,7), "Above 80%",
        INDEX(_xlpm.labels, _xlfn.XLOOKUP(_xlpm.income, _xlpm.thresholds, _xlfn.SEQUENCE(1,7), , -1))
      )
    )
  )
)</f>
        <v/>
      </c>
      <c r="I152" s="42" t="str">
        <f t="shared" si="6"/>
        <v/>
      </c>
      <c r="J152" s="61"/>
      <c r="K152" s="61"/>
      <c r="L152" s="61"/>
      <c r="M152" s="61"/>
      <c r="N152" s="47" t="str">
        <f t="shared" ref="N152:N215" si="9">IF(OR(L152="",M152="",J152=""),"",
IF(L152="Y",
IF(M152&lt;=J152,"Y","N"),
IF(M152&lt;=DATE(YEAR(J152),3,31),"Y","N")
))</f>
        <v/>
      </c>
      <c r="O152" s="48" t="str">
        <f>IF(OR(C152="", B152=""), "",
  INDEX(RentTable, MATCH(B152, {0,1,2,3,4}, 0), MATCH(C152, {20,30,40,50,60,70,80}, 1))
)</f>
        <v/>
      </c>
      <c r="P152" s="60"/>
      <c r="Q152" s="48" t="str">
        <f t="shared" si="7"/>
        <v/>
      </c>
      <c r="R152" s="60"/>
      <c r="S152" s="60"/>
      <c r="T152" s="48" t="str">
        <f t="shared" si="8"/>
        <v/>
      </c>
      <c r="U152" s="42" t="str" cm="1">
        <f t="array" ref="U152">_xlfn.IFS(OR(Q152="", T152="", Q152=0, "", T152=0), "", AND(T152&lt;=Q152,D152&lt;=Q152), "Y", OR(T152&gt;Q152,D152&gt;Q152), "N")</f>
        <v/>
      </c>
      <c r="V152" s="62"/>
      <c r="W152" s="63"/>
    </row>
    <row r="153" spans="1:23" x14ac:dyDescent="0.25">
      <c r="A153" s="58"/>
      <c r="B153" s="59"/>
      <c r="C153" s="59"/>
      <c r="D153" s="60"/>
      <c r="E153" s="59"/>
      <c r="F153" s="59"/>
      <c r="G153" s="60"/>
      <c r="H153" s="43" t="str" cm="1">
        <f t="array" ref="H153">IF(OR(F153="", G153=""), "",
  _xlfn.LET(
    _xlpm.rowIndex, MATCH(F153, INDEX(IncomeTable,,1), 0),
    _xlpm.thresholds, INDEX(IncomeTable, _xlpm.rowIndex, 2):INDEX(IncomeTable, _xlpm.rowIndex, 8),
    _xlpm.labels, {20,30,40,50,60,70,80},
    _xlpm.income, G153,
    IF(_xlpm.income &lt; INDEX(_xlpm.thresholds,1), "Below 20%",
      IF(_xlpm.income &gt; INDEX(_xlpm.thresholds,7), "Above 80%",
        INDEX(_xlpm.labels, _xlfn.XLOOKUP(_xlpm.income, _xlpm.thresholds, _xlfn.SEQUENCE(1,7), , -1))
      )
    )
  )
)</f>
        <v/>
      </c>
      <c r="I153" s="42" t="str">
        <f t="shared" si="6"/>
        <v/>
      </c>
      <c r="J153" s="61"/>
      <c r="K153" s="61"/>
      <c r="L153" s="61"/>
      <c r="M153" s="61"/>
      <c r="N153" s="47" t="str">
        <f t="shared" si="9"/>
        <v/>
      </c>
      <c r="O153" s="48" t="str">
        <f>IF(OR(C153="", B153=""), "",
  INDEX(RentTable, MATCH(B153, {0,1,2,3,4}, 0), MATCH(C153, {20,30,40,50,60,70,80}, 1))
)</f>
        <v/>
      </c>
      <c r="P153" s="60"/>
      <c r="Q153" s="48" t="str">
        <f t="shared" si="7"/>
        <v/>
      </c>
      <c r="R153" s="60"/>
      <c r="S153" s="60"/>
      <c r="T153" s="48" t="str">
        <f t="shared" si="8"/>
        <v/>
      </c>
      <c r="U153" s="42" t="str" cm="1">
        <f t="array" ref="U153">_xlfn.IFS(OR(Q153="", T153="", Q153=0, "", T153=0), "", AND(T153&lt;=Q153,D153&lt;=Q153), "Y", OR(T153&gt;Q153,D153&gt;Q153), "N")</f>
        <v/>
      </c>
      <c r="V153" s="62"/>
      <c r="W153" s="63"/>
    </row>
    <row r="154" spans="1:23" x14ac:dyDescent="0.25">
      <c r="A154" s="58"/>
      <c r="B154" s="59"/>
      <c r="C154" s="59"/>
      <c r="D154" s="60"/>
      <c r="E154" s="59"/>
      <c r="F154" s="59"/>
      <c r="G154" s="60"/>
      <c r="H154" s="43" t="str" cm="1">
        <f t="array" ref="H154">IF(OR(F154="", G154=""), "",
  _xlfn.LET(
    _xlpm.rowIndex, MATCH(F154, INDEX(IncomeTable,,1), 0),
    _xlpm.thresholds, INDEX(IncomeTable, _xlpm.rowIndex, 2):INDEX(IncomeTable, _xlpm.rowIndex, 8),
    _xlpm.labels, {20,30,40,50,60,70,80},
    _xlpm.income, G154,
    IF(_xlpm.income &lt; INDEX(_xlpm.thresholds,1), "Below 20%",
      IF(_xlpm.income &gt; INDEX(_xlpm.thresholds,7), "Above 80%",
        INDEX(_xlpm.labels, _xlfn.XLOOKUP(_xlpm.income, _xlpm.thresholds, _xlfn.SEQUENCE(1,7), , -1))
      )
    )
  )
)</f>
        <v/>
      </c>
      <c r="I154" s="42" t="str">
        <f t="shared" ref="I154:I217" si="10">IF(AND(ISNUMBER(C154), ISNUMBER(H154)), IF(C154=H154, "Y", "N"), "")</f>
        <v/>
      </c>
      <c r="J154" s="61"/>
      <c r="K154" s="61"/>
      <c r="L154" s="61"/>
      <c r="M154" s="61"/>
      <c r="N154" s="47" t="str">
        <f t="shared" si="9"/>
        <v/>
      </c>
      <c r="O154" s="48" t="str">
        <f>IF(OR(C154="", B154=""), "",
  INDEX(RentTable, MATCH(B154, {0,1,2,3,4}, 0), MATCH(C154, {20,30,40,50,60,70,80}, 1))
)</f>
        <v/>
      </c>
      <c r="P154" s="60"/>
      <c r="Q154" s="48" t="str">
        <f t="shared" ref="Q154:Q217" si="11">IF(OR(O154="", ISBLANK(O154), O154=0), "", O154 - P154)</f>
        <v/>
      </c>
      <c r="R154" s="60"/>
      <c r="S154" s="60"/>
      <c r="T154" s="48" t="str">
        <f t="shared" si="8"/>
        <v/>
      </c>
      <c r="U154" s="42" t="str" cm="1">
        <f t="array" ref="U154">_xlfn.IFS(OR(Q154="", T154="", Q154=0, "", T154=0), "", AND(T154&lt;=Q154,D154&lt;=Q154), "Y", OR(T154&gt;Q154,D154&gt;Q154), "N")</f>
        <v/>
      </c>
      <c r="V154" s="62"/>
      <c r="W154" s="98"/>
    </row>
    <row r="155" spans="1:23" x14ac:dyDescent="0.25">
      <c r="A155" s="58"/>
      <c r="B155" s="59"/>
      <c r="C155" s="59"/>
      <c r="D155" s="60"/>
      <c r="E155" s="59"/>
      <c r="F155" s="59"/>
      <c r="G155" s="60"/>
      <c r="H155" s="43" t="str" cm="1">
        <f t="array" ref="H155">IF(OR(F155="", G155=""), "",
  _xlfn.LET(
    _xlpm.rowIndex, MATCH(F155, INDEX(IncomeTable,,1), 0),
    _xlpm.thresholds, INDEX(IncomeTable, _xlpm.rowIndex, 2):INDEX(IncomeTable, _xlpm.rowIndex, 8),
    _xlpm.labels, {20,30,40,50,60,70,80},
    _xlpm.income, G155,
    IF(_xlpm.income &lt; INDEX(_xlpm.thresholds,1), "Below 20%",
      IF(_xlpm.income &gt; INDEX(_xlpm.thresholds,7), "Above 80%",
        INDEX(_xlpm.labels, _xlfn.XLOOKUP(_xlpm.income, _xlpm.thresholds, _xlfn.SEQUENCE(1,7), , -1))
      )
    )
  )
)</f>
        <v/>
      </c>
      <c r="I155" s="42" t="str">
        <f>IF(AND(ISNUMBER(C155), ISNUMBER(H155)), IF(C155=H155, "Y", "N"), "")</f>
        <v/>
      </c>
      <c r="J155" s="61"/>
      <c r="K155" s="61"/>
      <c r="L155" s="61"/>
      <c r="M155" s="61"/>
      <c r="N155" s="47" t="str">
        <f t="shared" si="9"/>
        <v/>
      </c>
      <c r="O155" s="48" t="str">
        <f>IF(OR(C155="", B155=""), "",
  INDEX(RentTable, MATCH(B155, {0,1,2,3,4}, 0), MATCH(C155, {20,30,40,50,60,70,80}, 1))
)</f>
        <v/>
      </c>
      <c r="P155" s="60"/>
      <c r="Q155" s="48" t="str">
        <f t="shared" si="11"/>
        <v/>
      </c>
      <c r="R155" s="60"/>
      <c r="S155" s="60"/>
      <c r="T155" s="48" t="str">
        <f t="shared" si="8"/>
        <v/>
      </c>
      <c r="U155" s="42" t="str" cm="1">
        <f t="array" ref="U155">_xlfn.IFS(OR(Q155="", T155="", Q155=0, "", T155=0), "", AND(T155&lt;=Q155,D155&lt;=Q155), "Y", OR(T155&gt;Q155,D155&gt;Q155), "N")</f>
        <v/>
      </c>
      <c r="V155" s="62"/>
      <c r="W155" s="63"/>
    </row>
    <row r="156" spans="1:23" x14ac:dyDescent="0.25">
      <c r="A156" s="58"/>
      <c r="B156" s="59"/>
      <c r="C156" s="59"/>
      <c r="D156" s="60"/>
      <c r="E156" s="59"/>
      <c r="F156" s="59"/>
      <c r="G156" s="60"/>
      <c r="H156" s="43" t="str" cm="1">
        <f t="array" ref="H156">IF(OR(F156="", G156=""), "",
  _xlfn.LET(
    _xlpm.rowIndex, MATCH(F156, INDEX(IncomeTable,,1), 0),
    _xlpm.thresholds, INDEX(IncomeTable, _xlpm.rowIndex, 2):INDEX(IncomeTable, _xlpm.rowIndex, 8),
    _xlpm.labels, {20,30,40,50,60,70,80},
    _xlpm.income, G156,
    IF(_xlpm.income &lt; INDEX(_xlpm.thresholds,1), "Below 20%",
      IF(_xlpm.income &gt; INDEX(_xlpm.thresholds,7), "Above 80%",
        INDEX(_xlpm.labels, _xlfn.XLOOKUP(_xlpm.income, _xlpm.thresholds, _xlfn.SEQUENCE(1,7), , -1))
      )
    )
  )
)</f>
        <v/>
      </c>
      <c r="I156" s="42" t="str">
        <f t="shared" si="10"/>
        <v/>
      </c>
      <c r="J156" s="61"/>
      <c r="K156" s="61"/>
      <c r="L156" s="61"/>
      <c r="M156" s="61"/>
      <c r="N156" s="47" t="str">
        <f t="shared" si="9"/>
        <v/>
      </c>
      <c r="O156" s="48" t="str">
        <f>IF(OR(C156="", B156=""), "",
  INDEX(RentTable, MATCH(B156, {0,1,2,3,4}, 0), MATCH(C156, {20,30,40,50,60,70,80}, 1))
)</f>
        <v/>
      </c>
      <c r="P156" s="60"/>
      <c r="Q156" s="48" t="str">
        <f t="shared" si="11"/>
        <v/>
      </c>
      <c r="R156" s="60"/>
      <c r="S156" s="60"/>
      <c r="T156" s="48" t="str">
        <f t="shared" si="8"/>
        <v/>
      </c>
      <c r="U156" s="42" t="str" cm="1">
        <f t="array" ref="U156">_xlfn.IFS(OR(Q156="", T156="", Q156=0, "", T156=0), "", AND(T156&lt;=Q156,D156&lt;=Q156), "Y", OR(T156&gt;Q156,D156&gt;Q156), "N")</f>
        <v/>
      </c>
      <c r="V156" s="62"/>
      <c r="W156" s="63"/>
    </row>
    <row r="157" spans="1:23" x14ac:dyDescent="0.25">
      <c r="A157" s="58"/>
      <c r="B157" s="59"/>
      <c r="C157" s="59"/>
      <c r="D157" s="60"/>
      <c r="E157" s="59"/>
      <c r="F157" s="59"/>
      <c r="G157" s="60"/>
      <c r="H157" s="43" t="str" cm="1">
        <f t="array" ref="H157">IF(OR(F157="", G157=""), "",
  _xlfn.LET(
    _xlpm.rowIndex, MATCH(F157, INDEX(IncomeTable,,1), 0),
    _xlpm.thresholds, INDEX(IncomeTable, _xlpm.rowIndex, 2):INDEX(IncomeTable, _xlpm.rowIndex, 8),
    _xlpm.labels, {20,30,40,50,60,70,80},
    _xlpm.income, G157,
    IF(_xlpm.income &lt; INDEX(_xlpm.thresholds,1), "Below 20%",
      IF(_xlpm.income &gt; INDEX(_xlpm.thresholds,7), "Above 80%",
        INDEX(_xlpm.labels, _xlfn.XLOOKUP(_xlpm.income, _xlpm.thresholds, _xlfn.SEQUENCE(1,7), , -1))
      )
    )
  )
)</f>
        <v/>
      </c>
      <c r="I157" s="42" t="str">
        <f t="shared" si="10"/>
        <v/>
      </c>
      <c r="J157" s="61"/>
      <c r="K157" s="61"/>
      <c r="L157" s="61"/>
      <c r="M157" s="61"/>
      <c r="N157" s="47" t="str">
        <f t="shared" si="9"/>
        <v/>
      </c>
      <c r="O157" s="48" t="str">
        <f>IF(OR(C157="", B157=""), "",
  INDEX(RentTable, MATCH(B157, {0,1,2,3,4}, 0), MATCH(C157, {20,30,40,50,60,70,80}, 1))
)</f>
        <v/>
      </c>
      <c r="P157" s="60"/>
      <c r="Q157" s="48" t="str">
        <f t="shared" si="11"/>
        <v/>
      </c>
      <c r="R157" s="60"/>
      <c r="S157" s="60"/>
      <c r="T157" s="48" t="str">
        <f t="shared" si="8"/>
        <v/>
      </c>
      <c r="U157" s="42" t="str" cm="1">
        <f t="array" ref="U157">_xlfn.IFS(OR(Q157="", T157="", Q157=0, "", T157=0), "", AND(T157&lt;=Q157,D157&lt;=Q157), "Y", OR(T157&gt;Q157,D157&gt;Q157), "N")</f>
        <v/>
      </c>
      <c r="V157" s="62"/>
      <c r="W157" s="63"/>
    </row>
    <row r="158" spans="1:23" x14ac:dyDescent="0.25">
      <c r="A158" s="58"/>
      <c r="B158" s="59"/>
      <c r="C158" s="59"/>
      <c r="D158" s="60"/>
      <c r="E158" s="59"/>
      <c r="F158" s="59"/>
      <c r="G158" s="60"/>
      <c r="H158" s="43" t="str" cm="1">
        <f t="array" ref="H158">IF(OR(F158="", G158=""), "",
  _xlfn.LET(
    _xlpm.rowIndex, MATCH(F158, INDEX(IncomeTable,,1), 0),
    _xlpm.thresholds, INDEX(IncomeTable, _xlpm.rowIndex, 2):INDEX(IncomeTable, _xlpm.rowIndex, 8),
    _xlpm.labels, {20,30,40,50,60,70,80},
    _xlpm.income, G158,
    IF(_xlpm.income &lt; INDEX(_xlpm.thresholds,1), "Below 20%",
      IF(_xlpm.income &gt; INDEX(_xlpm.thresholds,7), "Above 80%",
        INDEX(_xlpm.labels, _xlfn.XLOOKUP(_xlpm.income, _xlpm.thresholds, _xlfn.SEQUENCE(1,7), , -1))
      )
    )
  )
)</f>
        <v/>
      </c>
      <c r="I158" s="42" t="str">
        <f t="shared" si="10"/>
        <v/>
      </c>
      <c r="J158" s="61"/>
      <c r="K158" s="61"/>
      <c r="L158" s="61"/>
      <c r="M158" s="61"/>
      <c r="N158" s="47" t="str">
        <f t="shared" si="9"/>
        <v/>
      </c>
      <c r="O158" s="48" t="str">
        <f>IF(OR(C158="", B158=""), "",
  INDEX(RentTable, MATCH(B158, {0,1,2,3,4}, 0), MATCH(C158, {20,30,40,50,60,70,80}, 1))
)</f>
        <v/>
      </c>
      <c r="P158" s="60"/>
      <c r="Q158" s="48" t="str">
        <f t="shared" si="11"/>
        <v/>
      </c>
      <c r="R158" s="60"/>
      <c r="S158" s="60"/>
      <c r="T158" s="48" t="str">
        <f t="shared" si="8"/>
        <v/>
      </c>
      <c r="U158" s="42" t="str" cm="1">
        <f t="array" ref="U158">_xlfn.IFS(OR(Q158="", T158="", Q158=0, "", T158=0), "", AND(T158&lt;=Q158,D158&lt;=Q158), "Y", OR(T158&gt;Q158,D158&gt;Q158), "N")</f>
        <v/>
      </c>
      <c r="V158" s="62"/>
      <c r="W158" s="63"/>
    </row>
    <row r="159" spans="1:23" x14ac:dyDescent="0.25">
      <c r="A159" s="58"/>
      <c r="B159" s="59"/>
      <c r="C159" s="59"/>
      <c r="D159" s="60"/>
      <c r="E159" s="59"/>
      <c r="F159" s="59"/>
      <c r="G159" s="60"/>
      <c r="H159" s="43" t="str" cm="1">
        <f t="array" ref="H159">IF(OR(F159="", G159=""), "",
  _xlfn.LET(
    _xlpm.rowIndex, MATCH(F159, INDEX(IncomeTable,,1), 0),
    _xlpm.thresholds, INDEX(IncomeTable, _xlpm.rowIndex, 2):INDEX(IncomeTable, _xlpm.rowIndex, 8),
    _xlpm.labels, {20,30,40,50,60,70,80},
    _xlpm.income, G159,
    IF(_xlpm.income &lt; INDEX(_xlpm.thresholds,1), "Below 20%",
      IF(_xlpm.income &gt; INDEX(_xlpm.thresholds,7), "Above 80%",
        INDEX(_xlpm.labels, _xlfn.XLOOKUP(_xlpm.income, _xlpm.thresholds, _xlfn.SEQUENCE(1,7), , -1))
      )
    )
  )
)</f>
        <v/>
      </c>
      <c r="I159" s="42" t="str">
        <f t="shared" si="10"/>
        <v/>
      </c>
      <c r="J159" s="61"/>
      <c r="K159" s="61"/>
      <c r="L159" s="61"/>
      <c r="M159" s="61"/>
      <c r="N159" s="47" t="str">
        <f t="shared" si="9"/>
        <v/>
      </c>
      <c r="O159" s="48" t="str">
        <f>IF(OR(C159="", B159=""), "",
  INDEX(RentTable, MATCH(B159, {0,1,2,3,4}, 0), MATCH(C159, {20,30,40,50,60,70,80}, 1))
)</f>
        <v/>
      </c>
      <c r="P159" s="60"/>
      <c r="Q159" s="48" t="str">
        <f t="shared" si="11"/>
        <v/>
      </c>
      <c r="R159" s="60"/>
      <c r="S159" s="60"/>
      <c r="T159" s="48" t="str">
        <f t="shared" si="8"/>
        <v/>
      </c>
      <c r="U159" s="42" t="str" cm="1">
        <f t="array" ref="U159">_xlfn.IFS(OR(Q159="", T159="", Q159=0, "", T159=0), "", AND(T159&lt;=Q159,D159&lt;=Q159), "Y", OR(T159&gt;Q159,D159&gt;Q159), "N")</f>
        <v/>
      </c>
      <c r="V159" s="62"/>
      <c r="W159" s="63"/>
    </row>
    <row r="160" spans="1:23" x14ac:dyDescent="0.25">
      <c r="A160" s="58"/>
      <c r="B160" s="59"/>
      <c r="C160" s="59"/>
      <c r="D160" s="60"/>
      <c r="E160" s="59"/>
      <c r="F160" s="59"/>
      <c r="G160" s="60"/>
      <c r="H160" s="43" t="str" cm="1">
        <f t="array" ref="H160">IF(OR(F160="", G160=""), "",
  _xlfn.LET(
    _xlpm.rowIndex, MATCH(F160, INDEX(IncomeTable,,1), 0),
    _xlpm.thresholds, INDEX(IncomeTable, _xlpm.rowIndex, 2):INDEX(IncomeTable, _xlpm.rowIndex, 8),
    _xlpm.labels, {20,30,40,50,60,70,80},
    _xlpm.income, G160,
    IF(_xlpm.income &lt; INDEX(_xlpm.thresholds,1), "Below 20%",
      IF(_xlpm.income &gt; INDEX(_xlpm.thresholds,7), "Above 80%",
        INDEX(_xlpm.labels, _xlfn.XLOOKUP(_xlpm.income, _xlpm.thresholds, _xlfn.SEQUENCE(1,7), , -1))
      )
    )
  )
)</f>
        <v/>
      </c>
      <c r="I160" s="42" t="str">
        <f t="shared" si="10"/>
        <v/>
      </c>
      <c r="J160" s="61"/>
      <c r="K160" s="61"/>
      <c r="L160" s="61"/>
      <c r="M160" s="61"/>
      <c r="N160" s="47" t="str">
        <f t="shared" si="9"/>
        <v/>
      </c>
      <c r="O160" s="48" t="str">
        <f>IF(OR(C160="", B160=""), "",
  INDEX(RentTable, MATCH(B160, {0,1,2,3,4}, 0), MATCH(C160, {20,30,40,50,60,70,80}, 1))
)</f>
        <v/>
      </c>
      <c r="P160" s="60"/>
      <c r="Q160" s="48" t="str">
        <f t="shared" si="11"/>
        <v/>
      </c>
      <c r="R160" s="60"/>
      <c r="S160" s="60"/>
      <c r="T160" s="48" t="str">
        <f t="shared" si="8"/>
        <v/>
      </c>
      <c r="U160" s="42" t="str" cm="1">
        <f t="array" ref="U160">_xlfn.IFS(OR(Q160="", T160="", Q160=0, "", T160=0), "", AND(T160&lt;=Q160,D160&lt;=Q160), "Y", OR(T160&gt;Q160,D160&gt;Q160), "N")</f>
        <v/>
      </c>
      <c r="V160" s="62"/>
      <c r="W160" s="63"/>
    </row>
    <row r="161" spans="1:23" x14ac:dyDescent="0.25">
      <c r="A161" s="58"/>
      <c r="B161" s="59"/>
      <c r="C161" s="59"/>
      <c r="D161" s="60"/>
      <c r="E161" s="59"/>
      <c r="F161" s="59"/>
      <c r="G161" s="60"/>
      <c r="H161" s="43" t="str" cm="1">
        <f t="array" ref="H161">IF(OR(F161="", G161=""), "",
  _xlfn.LET(
    _xlpm.rowIndex, MATCH(F161, INDEX(IncomeTable,,1), 0),
    _xlpm.thresholds, INDEX(IncomeTable, _xlpm.rowIndex, 2):INDEX(IncomeTable, _xlpm.rowIndex, 8),
    _xlpm.labels, {20,30,40,50,60,70,80},
    _xlpm.income, G161,
    IF(_xlpm.income &lt; INDEX(_xlpm.thresholds,1), "Below 20%",
      IF(_xlpm.income &gt; INDEX(_xlpm.thresholds,7), "Above 80%",
        INDEX(_xlpm.labels, _xlfn.XLOOKUP(_xlpm.income, _xlpm.thresholds, _xlfn.SEQUENCE(1,7), , -1))
      )
    )
  )
)</f>
        <v/>
      </c>
      <c r="I161" s="42" t="str">
        <f t="shared" si="10"/>
        <v/>
      </c>
      <c r="J161" s="61"/>
      <c r="K161" s="61"/>
      <c r="L161" s="61"/>
      <c r="M161" s="61"/>
      <c r="N161" s="47" t="str">
        <f t="shared" si="9"/>
        <v/>
      </c>
      <c r="O161" s="48" t="str">
        <f>IF(OR(C161="", B161=""), "",
  INDEX(RentTable, MATCH(B161, {0,1,2,3,4}, 0), MATCH(C161, {20,30,40,50,60,70,80}, 1))
)</f>
        <v/>
      </c>
      <c r="P161" s="60"/>
      <c r="Q161" s="48" t="str">
        <f t="shared" si="11"/>
        <v/>
      </c>
      <c r="R161" s="60"/>
      <c r="S161" s="60"/>
      <c r="T161" s="48" t="str">
        <f t="shared" si="8"/>
        <v/>
      </c>
      <c r="U161" s="42" t="str" cm="1">
        <f t="array" ref="U161">_xlfn.IFS(OR(Q161="", T161="", Q161=0, "", T161=0), "", AND(T161&lt;=Q161,D161&lt;=Q161), "Y", OR(T161&gt;Q161,D161&gt;Q161), "N")</f>
        <v/>
      </c>
      <c r="V161" s="62"/>
      <c r="W161" s="63"/>
    </row>
    <row r="162" spans="1:23" x14ac:dyDescent="0.25">
      <c r="A162" s="58"/>
      <c r="B162" s="59"/>
      <c r="C162" s="59"/>
      <c r="D162" s="60"/>
      <c r="E162" s="59"/>
      <c r="F162" s="59"/>
      <c r="G162" s="60"/>
      <c r="H162" s="43" t="str" cm="1">
        <f t="array" ref="H162">IF(OR(F162="", G162=""), "",
  _xlfn.LET(
    _xlpm.rowIndex, MATCH(F162, INDEX(IncomeTable,,1), 0),
    _xlpm.thresholds, INDEX(IncomeTable, _xlpm.rowIndex, 2):INDEX(IncomeTable, _xlpm.rowIndex, 8),
    _xlpm.labels, {20,30,40,50,60,70,80},
    _xlpm.income, G162,
    IF(_xlpm.income &lt; INDEX(_xlpm.thresholds,1), "Below 20%",
      IF(_xlpm.income &gt; INDEX(_xlpm.thresholds,7), "Above 80%",
        INDEX(_xlpm.labels, _xlfn.XLOOKUP(_xlpm.income, _xlpm.thresholds, _xlfn.SEQUENCE(1,7), , -1))
      )
    )
  )
)</f>
        <v/>
      </c>
      <c r="I162" s="42" t="str">
        <f t="shared" si="10"/>
        <v/>
      </c>
      <c r="J162" s="61"/>
      <c r="K162" s="61"/>
      <c r="L162" s="61"/>
      <c r="M162" s="61"/>
      <c r="N162" s="47" t="str">
        <f t="shared" si="9"/>
        <v/>
      </c>
      <c r="O162" s="48" t="str">
        <f>IF(OR(C162="", B162=""), "",
  INDEX(RentTable, MATCH(B162, {0,1,2,3,4}, 0), MATCH(C162, {20,30,40,50,60,70,80}, 1))
)</f>
        <v/>
      </c>
      <c r="P162" s="60"/>
      <c r="Q162" s="48" t="str">
        <f t="shared" si="11"/>
        <v/>
      </c>
      <c r="R162" s="60"/>
      <c r="S162" s="60"/>
      <c r="T162" s="48" t="str">
        <f t="shared" si="8"/>
        <v/>
      </c>
      <c r="U162" s="42" t="str" cm="1">
        <f t="array" ref="U162">_xlfn.IFS(OR(Q162="", T162="", Q162=0, "", T162=0), "", AND(T162&lt;=Q162,D162&lt;=Q162), "Y", OR(T162&gt;Q162,D162&gt;Q162), "N")</f>
        <v/>
      </c>
      <c r="V162" s="62"/>
      <c r="W162" s="63"/>
    </row>
    <row r="163" spans="1:23" x14ac:dyDescent="0.25">
      <c r="A163" s="58"/>
      <c r="B163" s="59"/>
      <c r="C163" s="59"/>
      <c r="D163" s="60"/>
      <c r="E163" s="59"/>
      <c r="F163" s="59"/>
      <c r="G163" s="60"/>
      <c r="H163" s="43" t="str" cm="1">
        <f t="array" ref="H163">IF(OR(F163="", G163=""), "",
  _xlfn.LET(
    _xlpm.rowIndex, MATCH(F163, INDEX(IncomeTable,,1), 0),
    _xlpm.thresholds, INDEX(IncomeTable, _xlpm.rowIndex, 2):INDEX(IncomeTable, _xlpm.rowIndex, 8),
    _xlpm.labels, {20,30,40,50,60,70,80},
    _xlpm.income, G163,
    IF(_xlpm.income &lt; INDEX(_xlpm.thresholds,1), "Below 20%",
      IF(_xlpm.income &gt; INDEX(_xlpm.thresholds,7), "Above 80%",
        INDEX(_xlpm.labels, _xlfn.XLOOKUP(_xlpm.income, _xlpm.thresholds, _xlfn.SEQUENCE(1,7), , -1))
      )
    )
  )
)</f>
        <v/>
      </c>
      <c r="I163" s="42" t="str">
        <f t="shared" si="10"/>
        <v/>
      </c>
      <c r="J163" s="61"/>
      <c r="K163" s="61"/>
      <c r="L163" s="61"/>
      <c r="M163" s="61"/>
      <c r="N163" s="47" t="str">
        <f t="shared" si="9"/>
        <v/>
      </c>
      <c r="O163" s="48" t="str">
        <f>IF(OR(C163="", B163=""), "",
  INDEX(RentTable, MATCH(B163, {0,1,2,3,4}, 0), MATCH(C163, {20,30,40,50,60,70,80}, 1))
)</f>
        <v/>
      </c>
      <c r="P163" s="60"/>
      <c r="Q163" s="48" t="str">
        <f t="shared" si="11"/>
        <v/>
      </c>
      <c r="R163" s="60"/>
      <c r="S163" s="60"/>
      <c r="T163" s="48" t="str">
        <f t="shared" si="8"/>
        <v/>
      </c>
      <c r="U163" s="42" t="str" cm="1">
        <f t="array" ref="U163">_xlfn.IFS(OR(Q163="", T163="", Q163=0, "", T163=0), "", AND(T163&lt;=Q163,D163&lt;=Q163), "Y", OR(T163&gt;Q163,D163&gt;Q163), "N")</f>
        <v/>
      </c>
      <c r="V163" s="62"/>
      <c r="W163" s="63"/>
    </row>
    <row r="164" spans="1:23" x14ac:dyDescent="0.25">
      <c r="A164" s="58"/>
      <c r="B164" s="59"/>
      <c r="C164" s="59"/>
      <c r="D164" s="60"/>
      <c r="E164" s="59"/>
      <c r="F164" s="59"/>
      <c r="G164" s="60"/>
      <c r="H164" s="43" t="str" cm="1">
        <f t="array" ref="H164">IF(OR(F164="", G164=""), "",
  _xlfn.LET(
    _xlpm.rowIndex, MATCH(F164, INDEX(IncomeTable,,1), 0),
    _xlpm.thresholds, INDEX(IncomeTable, _xlpm.rowIndex, 2):INDEX(IncomeTable, _xlpm.rowIndex, 8),
    _xlpm.labels, {20,30,40,50,60,70,80},
    _xlpm.income, G164,
    IF(_xlpm.income &lt; INDEX(_xlpm.thresholds,1), "Below 20%",
      IF(_xlpm.income &gt; INDEX(_xlpm.thresholds,7), "Above 80%",
        INDEX(_xlpm.labels, _xlfn.XLOOKUP(_xlpm.income, _xlpm.thresholds, _xlfn.SEQUENCE(1,7), , -1))
      )
    )
  )
)</f>
        <v/>
      </c>
      <c r="I164" s="42" t="str">
        <f t="shared" si="10"/>
        <v/>
      </c>
      <c r="J164" s="61"/>
      <c r="K164" s="61"/>
      <c r="L164" s="61"/>
      <c r="M164" s="61"/>
      <c r="N164" s="47" t="str">
        <f t="shared" si="9"/>
        <v/>
      </c>
      <c r="O164" s="48" t="str">
        <f>IF(OR(C164="", B164=""), "",
  INDEX(RentTable, MATCH(B164, {0,1,2,3,4}, 0), MATCH(C164, {20,30,40,50,60,70,80}, 1))
)</f>
        <v/>
      </c>
      <c r="P164" s="60"/>
      <c r="Q164" s="48" t="str">
        <f t="shared" si="11"/>
        <v/>
      </c>
      <c r="R164" s="60"/>
      <c r="S164" s="60"/>
      <c r="T164" s="48" t="str">
        <f t="shared" si="8"/>
        <v/>
      </c>
      <c r="U164" s="42" t="str" cm="1">
        <f t="array" ref="U164">_xlfn.IFS(OR(Q164="", T164="", Q164=0, "", T164=0), "", AND(T164&lt;=Q164,D164&lt;=Q164), "Y", OR(T164&gt;Q164,D164&gt;Q164), "N")</f>
        <v/>
      </c>
      <c r="V164" s="62"/>
      <c r="W164" s="63"/>
    </row>
    <row r="165" spans="1:23" x14ac:dyDescent="0.25">
      <c r="A165" s="58"/>
      <c r="B165" s="59"/>
      <c r="C165" s="59"/>
      <c r="D165" s="60"/>
      <c r="E165" s="59"/>
      <c r="F165" s="59"/>
      <c r="G165" s="60"/>
      <c r="H165" s="43" t="str" cm="1">
        <f t="array" ref="H165">IF(OR(F165="", G165=""), "",
  _xlfn.LET(
    _xlpm.rowIndex, MATCH(F165, INDEX(IncomeTable,,1), 0),
    _xlpm.thresholds, INDEX(IncomeTable, _xlpm.rowIndex, 2):INDEX(IncomeTable, _xlpm.rowIndex, 8),
    _xlpm.labels, {20,30,40,50,60,70,80},
    _xlpm.income, G165,
    IF(_xlpm.income &lt; INDEX(_xlpm.thresholds,1), "Below 20%",
      IF(_xlpm.income &gt; INDEX(_xlpm.thresholds,7), "Above 80%",
        INDEX(_xlpm.labels, _xlfn.XLOOKUP(_xlpm.income, _xlpm.thresholds, _xlfn.SEQUENCE(1,7), , -1))
      )
    )
  )
)</f>
        <v/>
      </c>
      <c r="I165" s="42" t="str">
        <f t="shared" si="10"/>
        <v/>
      </c>
      <c r="J165" s="61"/>
      <c r="K165" s="61"/>
      <c r="L165" s="61"/>
      <c r="M165" s="61"/>
      <c r="N165" s="47" t="str">
        <f t="shared" si="9"/>
        <v/>
      </c>
      <c r="O165" s="48" t="str">
        <f>IF(OR(C165="", B165=""), "",
  INDEX(RentTable, MATCH(B165, {0,1,2,3,4}, 0), MATCH(C165, {20,30,40,50,60,70,80}, 1))
)</f>
        <v/>
      </c>
      <c r="P165" s="60"/>
      <c r="Q165" s="48" t="str">
        <f t="shared" si="11"/>
        <v/>
      </c>
      <c r="R165" s="60"/>
      <c r="S165" s="60"/>
      <c r="T165" s="48" t="str">
        <f t="shared" si="8"/>
        <v/>
      </c>
      <c r="U165" s="42" t="str" cm="1">
        <f t="array" ref="U165">_xlfn.IFS(OR(Q165="", T165="", Q165=0, "", T165=0), "", AND(T165&lt;=Q165,D165&lt;=Q165), "Y", OR(T165&gt;Q165,D165&gt;Q165), "N")</f>
        <v/>
      </c>
      <c r="V165" s="62"/>
      <c r="W165" s="63"/>
    </row>
    <row r="166" spans="1:23" x14ac:dyDescent="0.25">
      <c r="A166" s="58"/>
      <c r="B166" s="59"/>
      <c r="C166" s="59"/>
      <c r="D166" s="60"/>
      <c r="E166" s="59"/>
      <c r="F166" s="59"/>
      <c r="G166" s="60"/>
      <c r="H166" s="43" t="str" cm="1">
        <f t="array" ref="H166">IF(OR(F166="", G166=""), "",
  _xlfn.LET(
    _xlpm.rowIndex, MATCH(F166, INDEX(IncomeTable,,1), 0),
    _xlpm.thresholds, INDEX(IncomeTable, _xlpm.rowIndex, 2):INDEX(IncomeTable, _xlpm.rowIndex, 8),
    _xlpm.labels, {20,30,40,50,60,70,80},
    _xlpm.income, G166,
    IF(_xlpm.income &lt; INDEX(_xlpm.thresholds,1), "Below 20%",
      IF(_xlpm.income &gt; INDEX(_xlpm.thresholds,7), "Above 80%",
        INDEX(_xlpm.labels, _xlfn.XLOOKUP(_xlpm.income, _xlpm.thresholds, _xlfn.SEQUENCE(1,7), , -1))
      )
    )
  )
)</f>
        <v/>
      </c>
      <c r="I166" s="42" t="str">
        <f t="shared" si="10"/>
        <v/>
      </c>
      <c r="J166" s="61"/>
      <c r="K166" s="61"/>
      <c r="L166" s="61"/>
      <c r="M166" s="61"/>
      <c r="N166" s="47" t="str">
        <f t="shared" si="9"/>
        <v/>
      </c>
      <c r="O166" s="48" t="str">
        <f>IF(OR(C166="", B166=""), "",
  INDEX(RentTable, MATCH(B166, {0,1,2,3,4}, 0), MATCH(C166, {20,30,40,50,60,70,80}, 1))
)</f>
        <v/>
      </c>
      <c r="P166" s="60"/>
      <c r="Q166" s="48" t="str">
        <f t="shared" si="11"/>
        <v/>
      </c>
      <c r="R166" s="60"/>
      <c r="S166" s="60"/>
      <c r="T166" s="48" t="str">
        <f t="shared" si="8"/>
        <v/>
      </c>
      <c r="U166" s="42" t="str" cm="1">
        <f t="array" ref="U166">_xlfn.IFS(OR(Q166="", T166="", Q166=0, "", T166=0), "", AND(T166&lt;=Q166,D166&lt;=Q166), "Y", OR(T166&gt;Q166,D166&gt;Q166), "N")</f>
        <v/>
      </c>
      <c r="V166" s="62"/>
      <c r="W166" s="63"/>
    </row>
    <row r="167" spans="1:23" x14ac:dyDescent="0.25">
      <c r="A167" s="58"/>
      <c r="B167" s="59"/>
      <c r="C167" s="59"/>
      <c r="D167" s="60"/>
      <c r="E167" s="59"/>
      <c r="F167" s="59"/>
      <c r="G167" s="60"/>
      <c r="H167" s="43" t="str" cm="1">
        <f t="array" ref="H167">IF(OR(F167="", G167=""), "",
  _xlfn.LET(
    _xlpm.rowIndex, MATCH(F167, INDEX(IncomeTable,,1), 0),
    _xlpm.thresholds, INDEX(IncomeTable, _xlpm.rowIndex, 2):INDEX(IncomeTable, _xlpm.rowIndex, 8),
    _xlpm.labels, {20,30,40,50,60,70,80},
    _xlpm.income, G167,
    IF(_xlpm.income &lt; INDEX(_xlpm.thresholds,1), "Below 20%",
      IF(_xlpm.income &gt; INDEX(_xlpm.thresholds,7), "Above 80%",
        INDEX(_xlpm.labels, _xlfn.XLOOKUP(_xlpm.income, _xlpm.thresholds, _xlfn.SEQUENCE(1,7), , -1))
      )
    )
  )
)</f>
        <v/>
      </c>
      <c r="I167" s="42" t="str">
        <f t="shared" si="10"/>
        <v/>
      </c>
      <c r="J167" s="61"/>
      <c r="K167" s="61"/>
      <c r="L167" s="61"/>
      <c r="M167" s="61"/>
      <c r="N167" s="47" t="str">
        <f t="shared" si="9"/>
        <v/>
      </c>
      <c r="O167" s="48" t="str">
        <f>IF(OR(C167="", B167=""), "",
  INDEX(RentTable, MATCH(B167, {0,1,2,3,4}, 0), MATCH(C167, {20,30,40,50,60,70,80}, 1))
)</f>
        <v/>
      </c>
      <c r="P167" s="60"/>
      <c r="Q167" s="48" t="str">
        <f t="shared" si="11"/>
        <v/>
      </c>
      <c r="R167" s="60"/>
      <c r="S167" s="60"/>
      <c r="T167" s="48" t="str">
        <f t="shared" si="8"/>
        <v/>
      </c>
      <c r="U167" s="42" t="str" cm="1">
        <f t="array" ref="U167">_xlfn.IFS(OR(Q167="", T167="", Q167=0, "", T167=0), "", AND(T167&lt;=Q167,D167&lt;=Q167), "Y", OR(T167&gt;Q167,D167&gt;Q167), "N")</f>
        <v/>
      </c>
      <c r="V167" s="62"/>
      <c r="W167" s="63"/>
    </row>
    <row r="168" spans="1:23" x14ac:dyDescent="0.25">
      <c r="A168" s="58"/>
      <c r="B168" s="59"/>
      <c r="C168" s="59"/>
      <c r="D168" s="60"/>
      <c r="E168" s="59"/>
      <c r="F168" s="59"/>
      <c r="G168" s="60"/>
      <c r="H168" s="43" t="str" cm="1">
        <f t="array" ref="H168">IF(OR(F168="", G168=""), "",
  _xlfn.LET(
    _xlpm.rowIndex, MATCH(F168, INDEX(IncomeTable,,1), 0),
    _xlpm.thresholds, INDEX(IncomeTable, _xlpm.rowIndex, 2):INDEX(IncomeTable, _xlpm.rowIndex, 8),
    _xlpm.labels, {20,30,40,50,60,70,80},
    _xlpm.income, G168,
    IF(_xlpm.income &lt; INDEX(_xlpm.thresholds,1), "Below 20%",
      IF(_xlpm.income &gt; INDEX(_xlpm.thresholds,7), "Above 80%",
        INDEX(_xlpm.labels, _xlfn.XLOOKUP(_xlpm.income, _xlpm.thresholds, _xlfn.SEQUENCE(1,7), , -1))
      )
    )
  )
)</f>
        <v/>
      </c>
      <c r="I168" s="42" t="str">
        <f t="shared" si="10"/>
        <v/>
      </c>
      <c r="J168" s="61"/>
      <c r="K168" s="61"/>
      <c r="L168" s="61"/>
      <c r="M168" s="61"/>
      <c r="N168" s="47" t="str">
        <f t="shared" si="9"/>
        <v/>
      </c>
      <c r="O168" s="48" t="str">
        <f>IF(OR(C168="", B168=""), "",
  INDEX(RentTable, MATCH(B168, {0,1,2,3,4}, 0), MATCH(C168, {20,30,40,50,60,70,80}, 1))
)</f>
        <v/>
      </c>
      <c r="P168" s="60"/>
      <c r="Q168" s="48" t="str">
        <f t="shared" si="11"/>
        <v/>
      </c>
      <c r="R168" s="60"/>
      <c r="S168" s="60"/>
      <c r="T168" s="48" t="str">
        <f t="shared" si="8"/>
        <v/>
      </c>
      <c r="U168" s="42" t="str" cm="1">
        <f t="array" ref="U168">_xlfn.IFS(OR(Q168="", T168="", Q168=0, "", T168=0), "", AND(T168&lt;=Q168,D168&lt;=Q168), "Y", OR(T168&gt;Q168,D168&gt;Q168), "N")</f>
        <v/>
      </c>
      <c r="V168" s="62"/>
      <c r="W168" s="63"/>
    </row>
    <row r="169" spans="1:23" x14ac:dyDescent="0.25">
      <c r="A169" s="58"/>
      <c r="B169" s="59"/>
      <c r="C169" s="59"/>
      <c r="D169" s="60"/>
      <c r="E169" s="59"/>
      <c r="F169" s="59"/>
      <c r="G169" s="60"/>
      <c r="H169" s="43" t="str" cm="1">
        <f t="array" ref="H169">IF(OR(F169="", G169=""), "",
  _xlfn.LET(
    _xlpm.rowIndex, MATCH(F169, INDEX(IncomeTable,,1), 0),
    _xlpm.thresholds, INDEX(IncomeTable, _xlpm.rowIndex, 2):INDEX(IncomeTable, _xlpm.rowIndex, 8),
    _xlpm.labels, {20,30,40,50,60,70,80},
    _xlpm.income, G169,
    IF(_xlpm.income &lt; INDEX(_xlpm.thresholds,1), "Below 20%",
      IF(_xlpm.income &gt; INDEX(_xlpm.thresholds,7), "Above 80%",
        INDEX(_xlpm.labels, _xlfn.XLOOKUP(_xlpm.income, _xlpm.thresholds, _xlfn.SEQUENCE(1,7), , -1))
      )
    )
  )
)</f>
        <v/>
      </c>
      <c r="I169" s="42" t="str">
        <f t="shared" si="10"/>
        <v/>
      </c>
      <c r="J169" s="61"/>
      <c r="K169" s="61"/>
      <c r="L169" s="61"/>
      <c r="M169" s="61"/>
      <c r="N169" s="47" t="str">
        <f t="shared" si="9"/>
        <v/>
      </c>
      <c r="O169" s="48" t="str">
        <f>IF(OR(C169="", B169=""), "",
  INDEX(RentTable, MATCH(B169, {0,1,2,3,4}, 0), MATCH(C169, {20,30,40,50,60,70,80}, 1))
)</f>
        <v/>
      </c>
      <c r="P169" s="60"/>
      <c r="Q169" s="48" t="str">
        <f t="shared" si="11"/>
        <v/>
      </c>
      <c r="R169" s="60"/>
      <c r="S169" s="60"/>
      <c r="T169" s="48" t="str">
        <f t="shared" si="8"/>
        <v/>
      </c>
      <c r="U169" s="42" t="str" cm="1">
        <f t="array" ref="U169">_xlfn.IFS(OR(Q169="", T169="", Q169=0, "", T169=0), "", AND(T169&lt;=Q169,D169&lt;=Q169), "Y", OR(T169&gt;Q169,D169&gt;Q169), "N")</f>
        <v/>
      </c>
      <c r="V169" s="62"/>
      <c r="W169" s="63"/>
    </row>
    <row r="170" spans="1:23" x14ac:dyDescent="0.25">
      <c r="A170" s="58"/>
      <c r="B170" s="59"/>
      <c r="C170" s="59"/>
      <c r="D170" s="60"/>
      <c r="E170" s="59"/>
      <c r="F170" s="59"/>
      <c r="G170" s="60"/>
      <c r="H170" s="43" t="str" cm="1">
        <f t="array" ref="H170">IF(OR(F170="", G170=""), "",
  _xlfn.LET(
    _xlpm.rowIndex, MATCH(F170, INDEX(IncomeTable,,1), 0),
    _xlpm.thresholds, INDEX(IncomeTable, _xlpm.rowIndex, 2):INDEX(IncomeTable, _xlpm.rowIndex, 8),
    _xlpm.labels, {20,30,40,50,60,70,80},
    _xlpm.income, G170,
    IF(_xlpm.income &lt; INDEX(_xlpm.thresholds,1), "Below 20%",
      IF(_xlpm.income &gt; INDEX(_xlpm.thresholds,7), "Above 80%",
        INDEX(_xlpm.labels, _xlfn.XLOOKUP(_xlpm.income, _xlpm.thresholds, _xlfn.SEQUENCE(1,7), , -1))
      )
    )
  )
)</f>
        <v/>
      </c>
      <c r="I170" s="42" t="str">
        <f t="shared" si="10"/>
        <v/>
      </c>
      <c r="J170" s="61"/>
      <c r="K170" s="61"/>
      <c r="L170" s="61"/>
      <c r="M170" s="61"/>
      <c r="N170" s="47" t="str">
        <f t="shared" si="9"/>
        <v/>
      </c>
      <c r="O170" s="48" t="str">
        <f>IF(OR(C170="", B170=""), "",
  INDEX(RentTable, MATCH(B170, {0,1,2,3,4}, 0), MATCH(C170, {20,30,40,50,60,70,80}, 1))
)</f>
        <v/>
      </c>
      <c r="P170" s="60"/>
      <c r="Q170" s="48" t="str">
        <f t="shared" si="11"/>
        <v/>
      </c>
      <c r="R170" s="60"/>
      <c r="S170" s="60"/>
      <c r="T170" s="48" t="str">
        <f t="shared" si="8"/>
        <v/>
      </c>
      <c r="U170" s="42" t="str" cm="1">
        <f t="array" ref="U170">_xlfn.IFS(OR(Q170="", T170="", Q170=0, "", T170=0), "", AND(T170&lt;=Q170,D170&lt;=Q170), "Y", OR(T170&gt;Q170,D170&gt;Q170), "N")</f>
        <v/>
      </c>
      <c r="V170" s="62"/>
      <c r="W170" s="63"/>
    </row>
    <row r="171" spans="1:23" x14ac:dyDescent="0.25">
      <c r="A171" s="58"/>
      <c r="B171" s="59"/>
      <c r="C171" s="59"/>
      <c r="D171" s="60"/>
      <c r="E171" s="59"/>
      <c r="F171" s="59"/>
      <c r="G171" s="60"/>
      <c r="H171" s="43" t="str" cm="1">
        <f t="array" ref="H171">IF(OR(F171="", G171=""), "",
  _xlfn.LET(
    _xlpm.rowIndex, MATCH(F171, INDEX(IncomeTable,,1), 0),
    _xlpm.thresholds, INDEX(IncomeTable, _xlpm.rowIndex, 2):INDEX(IncomeTable, _xlpm.rowIndex, 8),
    _xlpm.labels, {20,30,40,50,60,70,80},
    _xlpm.income, G171,
    IF(_xlpm.income &lt; INDEX(_xlpm.thresholds,1), "Below 20%",
      IF(_xlpm.income &gt; INDEX(_xlpm.thresholds,7), "Above 80%",
        INDEX(_xlpm.labels, _xlfn.XLOOKUP(_xlpm.income, _xlpm.thresholds, _xlfn.SEQUENCE(1,7), , -1))
      )
    )
  )
)</f>
        <v/>
      </c>
      <c r="I171" s="42" t="str">
        <f t="shared" si="10"/>
        <v/>
      </c>
      <c r="J171" s="61"/>
      <c r="K171" s="61"/>
      <c r="L171" s="61"/>
      <c r="M171" s="61"/>
      <c r="N171" s="47" t="str">
        <f t="shared" si="9"/>
        <v/>
      </c>
      <c r="O171" s="48" t="str">
        <f>IF(OR(C171="", B171=""), "",
  INDEX(RentTable, MATCH(B171, {0,1,2,3,4}, 0), MATCH(C171, {20,30,40,50,60,70,80}, 1))
)</f>
        <v/>
      </c>
      <c r="P171" s="60"/>
      <c r="Q171" s="48" t="str">
        <f t="shared" si="11"/>
        <v/>
      </c>
      <c r="R171" s="60"/>
      <c r="S171" s="60"/>
      <c r="T171" s="48" t="str">
        <f t="shared" si="8"/>
        <v/>
      </c>
      <c r="U171" s="42" t="str" cm="1">
        <f t="array" ref="U171">_xlfn.IFS(OR(Q171="", T171="", Q171=0, "", T171=0), "", AND(T171&lt;=Q171,D171&lt;=Q171), "Y", OR(T171&gt;Q171,D171&gt;Q171), "N")</f>
        <v/>
      </c>
      <c r="V171" s="62"/>
      <c r="W171" s="63"/>
    </row>
    <row r="172" spans="1:23" x14ac:dyDescent="0.25">
      <c r="A172" s="58"/>
      <c r="B172" s="59"/>
      <c r="C172" s="59"/>
      <c r="D172" s="60"/>
      <c r="E172" s="59"/>
      <c r="F172" s="59"/>
      <c r="G172" s="60"/>
      <c r="H172" s="43" t="str" cm="1">
        <f t="array" ref="H172">IF(OR(F172="", G172=""), "",
  _xlfn.LET(
    _xlpm.rowIndex, MATCH(F172, INDEX(IncomeTable,,1), 0),
    _xlpm.thresholds, INDEX(IncomeTable, _xlpm.rowIndex, 2):INDEX(IncomeTable, _xlpm.rowIndex, 8),
    _xlpm.labels, {20,30,40,50,60,70,80},
    _xlpm.income, G172,
    IF(_xlpm.income &lt; INDEX(_xlpm.thresholds,1), "Below 20%",
      IF(_xlpm.income &gt; INDEX(_xlpm.thresholds,7), "Above 80%",
        INDEX(_xlpm.labels, _xlfn.XLOOKUP(_xlpm.income, _xlpm.thresholds, _xlfn.SEQUENCE(1,7), , -1))
      )
    )
  )
)</f>
        <v/>
      </c>
      <c r="I172" s="42" t="str">
        <f t="shared" si="10"/>
        <v/>
      </c>
      <c r="J172" s="61"/>
      <c r="K172" s="61"/>
      <c r="L172" s="61"/>
      <c r="M172" s="61"/>
      <c r="N172" s="47" t="str">
        <f t="shared" si="9"/>
        <v/>
      </c>
      <c r="O172" s="48" t="str">
        <f>IF(OR(C172="", B172=""), "",
  INDEX(RentTable, MATCH(B172, {0,1,2,3,4}, 0), MATCH(C172, {20,30,40,50,60,70,80}, 1))
)</f>
        <v/>
      </c>
      <c r="P172" s="60"/>
      <c r="Q172" s="48" t="str">
        <f t="shared" si="11"/>
        <v/>
      </c>
      <c r="R172" s="60"/>
      <c r="S172" s="60"/>
      <c r="T172" s="48" t="str">
        <f t="shared" si="8"/>
        <v/>
      </c>
      <c r="U172" s="42" t="str" cm="1">
        <f t="array" ref="U172">_xlfn.IFS(OR(Q172="", T172="", Q172=0, "", T172=0), "", AND(T172&lt;=Q172,D172&lt;=Q172), "Y", OR(T172&gt;Q172,D172&gt;Q172), "N")</f>
        <v/>
      </c>
      <c r="V172" s="62"/>
      <c r="W172" s="63"/>
    </row>
    <row r="173" spans="1:23" x14ac:dyDescent="0.25">
      <c r="A173" s="58"/>
      <c r="B173" s="59"/>
      <c r="C173" s="59"/>
      <c r="D173" s="60"/>
      <c r="E173" s="59"/>
      <c r="F173" s="59"/>
      <c r="G173" s="60"/>
      <c r="H173" s="43" t="str" cm="1">
        <f t="array" ref="H173">IF(OR(F173="", G173=""), "",
  _xlfn.LET(
    _xlpm.rowIndex, MATCH(F173, INDEX(IncomeTable,,1), 0),
    _xlpm.thresholds, INDEX(IncomeTable, _xlpm.rowIndex, 2):INDEX(IncomeTable, _xlpm.rowIndex, 8),
    _xlpm.labels, {20,30,40,50,60,70,80},
    _xlpm.income, G173,
    IF(_xlpm.income &lt; INDEX(_xlpm.thresholds,1), "Below 20%",
      IF(_xlpm.income &gt; INDEX(_xlpm.thresholds,7), "Above 80%",
        INDEX(_xlpm.labels, _xlfn.XLOOKUP(_xlpm.income, _xlpm.thresholds, _xlfn.SEQUENCE(1,7), , -1))
      )
    )
  )
)</f>
        <v/>
      </c>
      <c r="I173" s="42" t="str">
        <f t="shared" si="10"/>
        <v/>
      </c>
      <c r="J173" s="61"/>
      <c r="K173" s="61"/>
      <c r="L173" s="61"/>
      <c r="M173" s="61"/>
      <c r="N173" s="47" t="str">
        <f t="shared" si="9"/>
        <v/>
      </c>
      <c r="O173" s="48" t="str">
        <f>IF(OR(C173="", B173=""), "",
  INDEX(RentTable, MATCH(B173, {0,1,2,3,4}, 0), MATCH(C173, {20,30,40,50,60,70,80}, 1))
)</f>
        <v/>
      </c>
      <c r="P173" s="60"/>
      <c r="Q173" s="48" t="str">
        <f t="shared" si="11"/>
        <v/>
      </c>
      <c r="R173" s="60"/>
      <c r="S173" s="60"/>
      <c r="T173" s="48" t="str">
        <f t="shared" si="8"/>
        <v/>
      </c>
      <c r="U173" s="42" t="str" cm="1">
        <f t="array" ref="U173">_xlfn.IFS(OR(Q173="", T173="", Q173=0, "", T173=0), "", AND(T173&lt;=Q173,D173&lt;=Q173), "Y", OR(T173&gt;Q173,D173&gt;Q173), "N")</f>
        <v/>
      </c>
      <c r="V173" s="62"/>
      <c r="W173" s="63"/>
    </row>
    <row r="174" spans="1:23" x14ac:dyDescent="0.25">
      <c r="A174" s="58"/>
      <c r="B174" s="59"/>
      <c r="C174" s="59"/>
      <c r="D174" s="60"/>
      <c r="E174" s="59"/>
      <c r="F174" s="59"/>
      <c r="G174" s="60"/>
      <c r="H174" s="43" t="str" cm="1">
        <f t="array" ref="H174">IF(OR(F174="", G174=""), "",
  _xlfn.LET(
    _xlpm.rowIndex, MATCH(F174, INDEX(IncomeTable,,1), 0),
    _xlpm.thresholds, INDEX(IncomeTable, _xlpm.rowIndex, 2):INDEX(IncomeTable, _xlpm.rowIndex, 8),
    _xlpm.labels, {20,30,40,50,60,70,80},
    _xlpm.income, G174,
    IF(_xlpm.income &lt; INDEX(_xlpm.thresholds,1), "Below 20%",
      IF(_xlpm.income &gt; INDEX(_xlpm.thresholds,7), "Above 80%",
        INDEX(_xlpm.labels, _xlfn.XLOOKUP(_xlpm.income, _xlpm.thresholds, _xlfn.SEQUENCE(1,7), , -1))
      )
    )
  )
)</f>
        <v/>
      </c>
      <c r="I174" s="42" t="str">
        <f t="shared" si="10"/>
        <v/>
      </c>
      <c r="J174" s="61"/>
      <c r="K174" s="61"/>
      <c r="L174" s="61"/>
      <c r="M174" s="61"/>
      <c r="N174" s="47" t="str">
        <f t="shared" si="9"/>
        <v/>
      </c>
      <c r="O174" s="48" t="str">
        <f>IF(OR(C174="", B174=""), "",
  INDEX(RentTable, MATCH(B174, {0,1,2,3,4}, 0), MATCH(C174, {20,30,40,50,60,70,80}, 1))
)</f>
        <v/>
      </c>
      <c r="P174" s="60"/>
      <c r="Q174" s="48" t="str">
        <f t="shared" si="11"/>
        <v/>
      </c>
      <c r="R174" s="60"/>
      <c r="S174" s="60"/>
      <c r="T174" s="48" t="str">
        <f t="shared" si="8"/>
        <v/>
      </c>
      <c r="U174" s="42" t="str" cm="1">
        <f t="array" ref="U174">_xlfn.IFS(OR(Q174="", T174="", Q174=0, "", T174=0), "", AND(T174&lt;=Q174,D174&lt;=Q174), "Y", OR(T174&gt;Q174,D174&gt;Q174), "N")</f>
        <v/>
      </c>
      <c r="V174" s="62"/>
      <c r="W174" s="63"/>
    </row>
    <row r="175" spans="1:23" x14ac:dyDescent="0.25">
      <c r="A175" s="58"/>
      <c r="B175" s="59"/>
      <c r="C175" s="59"/>
      <c r="D175" s="60"/>
      <c r="E175" s="59"/>
      <c r="F175" s="59"/>
      <c r="G175" s="60"/>
      <c r="H175" s="43" t="str" cm="1">
        <f t="array" ref="H175">IF(OR(F175="", G175=""), "",
  _xlfn.LET(
    _xlpm.rowIndex, MATCH(F175, INDEX(IncomeTable,,1), 0),
    _xlpm.thresholds, INDEX(IncomeTable, _xlpm.rowIndex, 2):INDEX(IncomeTable, _xlpm.rowIndex, 8),
    _xlpm.labels, {20,30,40,50,60,70,80},
    _xlpm.income, G175,
    IF(_xlpm.income &lt; INDEX(_xlpm.thresholds,1), "Below 20%",
      IF(_xlpm.income &gt; INDEX(_xlpm.thresholds,7), "Above 80%",
        INDEX(_xlpm.labels, _xlfn.XLOOKUP(_xlpm.income, _xlpm.thresholds, _xlfn.SEQUENCE(1,7), , -1))
      )
    )
  )
)</f>
        <v/>
      </c>
      <c r="I175" s="42" t="str">
        <f t="shared" si="10"/>
        <v/>
      </c>
      <c r="J175" s="61"/>
      <c r="K175" s="61"/>
      <c r="L175" s="61"/>
      <c r="M175" s="61"/>
      <c r="N175" s="47" t="str">
        <f t="shared" si="9"/>
        <v/>
      </c>
      <c r="O175" s="48" t="str">
        <f>IF(OR(C175="", B175=""), "",
  INDEX(RentTable, MATCH(B175, {0,1,2,3,4}, 0), MATCH(C175, {20,30,40,50,60,70,80}, 1))
)</f>
        <v/>
      </c>
      <c r="P175" s="60"/>
      <c r="Q175" s="48" t="str">
        <f t="shared" si="11"/>
        <v/>
      </c>
      <c r="R175" s="60"/>
      <c r="S175" s="60"/>
      <c r="T175" s="48" t="str">
        <f t="shared" si="8"/>
        <v/>
      </c>
      <c r="U175" s="42" t="str" cm="1">
        <f t="array" ref="U175">_xlfn.IFS(OR(Q175="", T175="", Q175=0, "", T175=0), "", AND(T175&lt;=Q175,D175&lt;=Q175), "Y", OR(T175&gt;Q175,D175&gt;Q175), "N")</f>
        <v/>
      </c>
      <c r="V175" s="62"/>
      <c r="W175" s="63"/>
    </row>
    <row r="176" spans="1:23" x14ac:dyDescent="0.25">
      <c r="A176" s="58"/>
      <c r="B176" s="59"/>
      <c r="C176" s="59"/>
      <c r="D176" s="60"/>
      <c r="E176" s="59"/>
      <c r="F176" s="59"/>
      <c r="G176" s="60"/>
      <c r="H176" s="43" t="str" cm="1">
        <f t="array" ref="H176">IF(OR(F176="", G176=""), "",
  _xlfn.LET(
    _xlpm.rowIndex, MATCH(F176, INDEX(IncomeTable,,1), 0),
    _xlpm.thresholds, INDEX(IncomeTable, _xlpm.rowIndex, 2):INDEX(IncomeTable, _xlpm.rowIndex, 8),
    _xlpm.labels, {20,30,40,50,60,70,80},
    _xlpm.income, G176,
    IF(_xlpm.income &lt; INDEX(_xlpm.thresholds,1), "Below 20%",
      IF(_xlpm.income &gt; INDEX(_xlpm.thresholds,7), "Above 80%",
        INDEX(_xlpm.labels, _xlfn.XLOOKUP(_xlpm.income, _xlpm.thresholds, _xlfn.SEQUENCE(1,7), , -1))
      )
    )
  )
)</f>
        <v/>
      </c>
      <c r="I176" s="42" t="str">
        <f t="shared" si="10"/>
        <v/>
      </c>
      <c r="J176" s="61"/>
      <c r="K176" s="61"/>
      <c r="L176" s="61"/>
      <c r="M176" s="61"/>
      <c r="N176" s="47" t="str">
        <f t="shared" si="9"/>
        <v/>
      </c>
      <c r="O176" s="48" t="str">
        <f>IF(OR(C176="", B176=""), "",
  INDEX(RentTable, MATCH(B176, {0,1,2,3,4}, 0), MATCH(C176, {20,30,40,50,60,70,80}, 1))
)</f>
        <v/>
      </c>
      <c r="P176" s="60"/>
      <c r="Q176" s="48" t="str">
        <f t="shared" si="11"/>
        <v/>
      </c>
      <c r="R176" s="60"/>
      <c r="S176" s="60"/>
      <c r="T176" s="48" t="str">
        <f t="shared" si="8"/>
        <v/>
      </c>
      <c r="U176" s="42" t="str" cm="1">
        <f t="array" ref="U176">_xlfn.IFS(OR(Q176="", T176="", Q176=0, "", T176=0), "", AND(T176&lt;=Q176,D176&lt;=Q176), "Y", OR(T176&gt;Q176,D176&gt;Q176), "N")</f>
        <v/>
      </c>
      <c r="V176" s="62"/>
      <c r="W176" s="63"/>
    </row>
    <row r="177" spans="1:23" x14ac:dyDescent="0.25">
      <c r="A177" s="58"/>
      <c r="B177" s="59"/>
      <c r="C177" s="59"/>
      <c r="D177" s="60"/>
      <c r="E177" s="59"/>
      <c r="F177" s="59"/>
      <c r="G177" s="60"/>
      <c r="H177" s="43" t="str" cm="1">
        <f t="array" ref="H177">IF(OR(F177="", G177=""), "",
  _xlfn.LET(
    _xlpm.rowIndex, MATCH(F177, INDEX(IncomeTable,,1), 0),
    _xlpm.thresholds, INDEX(IncomeTable, _xlpm.rowIndex, 2):INDEX(IncomeTable, _xlpm.rowIndex, 8),
    _xlpm.labels, {20,30,40,50,60,70,80},
    _xlpm.income, G177,
    IF(_xlpm.income &lt; INDEX(_xlpm.thresholds,1), "Below 20%",
      IF(_xlpm.income &gt; INDEX(_xlpm.thresholds,7), "Above 80%",
        INDEX(_xlpm.labels, _xlfn.XLOOKUP(_xlpm.income, _xlpm.thresholds, _xlfn.SEQUENCE(1,7), , -1))
      )
    )
  )
)</f>
        <v/>
      </c>
      <c r="I177" s="42" t="str">
        <f t="shared" si="10"/>
        <v/>
      </c>
      <c r="J177" s="61"/>
      <c r="K177" s="61"/>
      <c r="L177" s="61"/>
      <c r="M177" s="61"/>
      <c r="N177" s="47" t="str">
        <f t="shared" si="9"/>
        <v/>
      </c>
      <c r="O177" s="48" t="str">
        <f>IF(OR(C177="", B177=""), "",
  INDEX(RentTable, MATCH(B177, {0,1,2,3,4}, 0), MATCH(C177, {20,30,40,50,60,70,80}, 1))
)</f>
        <v/>
      </c>
      <c r="P177" s="60"/>
      <c r="Q177" s="48" t="str">
        <f t="shared" si="11"/>
        <v/>
      </c>
      <c r="R177" s="60"/>
      <c r="S177" s="60"/>
      <c r="T177" s="48" t="str">
        <f t="shared" si="8"/>
        <v/>
      </c>
      <c r="U177" s="42" t="str" cm="1">
        <f t="array" ref="U177">_xlfn.IFS(OR(Q177="", T177="", Q177=0, "", T177=0), "", AND(T177&lt;=Q177,D177&lt;=Q177), "Y", OR(T177&gt;Q177,D177&gt;Q177), "N")</f>
        <v/>
      </c>
      <c r="V177" s="62"/>
      <c r="W177" s="63"/>
    </row>
    <row r="178" spans="1:23" x14ac:dyDescent="0.25">
      <c r="A178" s="58"/>
      <c r="B178" s="59"/>
      <c r="C178" s="59"/>
      <c r="D178" s="60"/>
      <c r="E178" s="59"/>
      <c r="F178" s="59"/>
      <c r="G178" s="60"/>
      <c r="H178" s="43" t="str" cm="1">
        <f t="array" ref="H178">IF(OR(F178="", G178=""), "",
  _xlfn.LET(
    _xlpm.rowIndex, MATCH(F178, INDEX(IncomeTable,,1), 0),
    _xlpm.thresholds, INDEX(IncomeTable, _xlpm.rowIndex, 2):INDEX(IncomeTable, _xlpm.rowIndex, 8),
    _xlpm.labels, {20,30,40,50,60,70,80},
    _xlpm.income, G178,
    IF(_xlpm.income &lt; INDEX(_xlpm.thresholds,1), "Below 20%",
      IF(_xlpm.income &gt; INDEX(_xlpm.thresholds,7), "Above 80%",
        INDEX(_xlpm.labels, _xlfn.XLOOKUP(_xlpm.income, _xlpm.thresholds, _xlfn.SEQUENCE(1,7), , -1))
      )
    )
  )
)</f>
        <v/>
      </c>
      <c r="I178" s="42" t="str">
        <f t="shared" si="10"/>
        <v/>
      </c>
      <c r="J178" s="61"/>
      <c r="K178" s="61"/>
      <c r="L178" s="61"/>
      <c r="M178" s="61"/>
      <c r="N178" s="47" t="str">
        <f t="shared" si="9"/>
        <v/>
      </c>
      <c r="O178" s="48" t="str">
        <f>IF(OR(C178="", B178=""), "",
  INDEX(RentTable, MATCH(B178, {0,1,2,3,4}, 0), MATCH(C178, {20,30,40,50,60,70,80}, 1))
)</f>
        <v/>
      </c>
      <c r="P178" s="60"/>
      <c r="Q178" s="48" t="str">
        <f t="shared" si="11"/>
        <v/>
      </c>
      <c r="R178" s="60"/>
      <c r="S178" s="60"/>
      <c r="T178" s="48" t="str">
        <f t="shared" si="8"/>
        <v/>
      </c>
      <c r="U178" s="42" t="str" cm="1">
        <f t="array" ref="U178">_xlfn.IFS(OR(Q178="", T178="", Q178=0, "", T178=0), "", AND(T178&lt;=Q178,D178&lt;=Q178), "Y", OR(T178&gt;Q178,D178&gt;Q178), "N")</f>
        <v/>
      </c>
      <c r="V178" s="62"/>
      <c r="W178" s="63"/>
    </row>
    <row r="179" spans="1:23" x14ac:dyDescent="0.25">
      <c r="A179" s="58"/>
      <c r="B179" s="59"/>
      <c r="C179" s="59"/>
      <c r="D179" s="60"/>
      <c r="E179" s="59"/>
      <c r="F179" s="59"/>
      <c r="G179" s="60"/>
      <c r="H179" s="43" t="str" cm="1">
        <f t="array" ref="H179">IF(OR(F179="", G179=""), "",
  _xlfn.LET(
    _xlpm.rowIndex, MATCH(F179, INDEX(IncomeTable,,1), 0),
    _xlpm.thresholds, INDEX(IncomeTable, _xlpm.rowIndex, 2):INDEX(IncomeTable, _xlpm.rowIndex, 8),
    _xlpm.labels, {20,30,40,50,60,70,80},
    _xlpm.income, G179,
    IF(_xlpm.income &lt; INDEX(_xlpm.thresholds,1), "Below 20%",
      IF(_xlpm.income &gt; INDEX(_xlpm.thresholds,7), "Above 80%",
        INDEX(_xlpm.labels, _xlfn.XLOOKUP(_xlpm.income, _xlpm.thresholds, _xlfn.SEQUENCE(1,7), , -1))
      )
    )
  )
)</f>
        <v/>
      </c>
      <c r="I179" s="42" t="str">
        <f t="shared" si="10"/>
        <v/>
      </c>
      <c r="J179" s="61"/>
      <c r="K179" s="61"/>
      <c r="L179" s="61"/>
      <c r="M179" s="61"/>
      <c r="N179" s="47" t="str">
        <f t="shared" si="9"/>
        <v/>
      </c>
      <c r="O179" s="48" t="str">
        <f>IF(OR(C179="", B179=""), "",
  INDEX(RentTable, MATCH(B179, {0,1,2,3,4}, 0), MATCH(C179, {20,30,40,50,60,70,80}, 1))
)</f>
        <v/>
      </c>
      <c r="P179" s="60"/>
      <c r="Q179" s="48" t="str">
        <f t="shared" si="11"/>
        <v/>
      </c>
      <c r="R179" s="60"/>
      <c r="S179" s="60"/>
      <c r="T179" s="48" t="str">
        <f t="shared" si="8"/>
        <v/>
      </c>
      <c r="U179" s="42" t="str" cm="1">
        <f t="array" ref="U179">_xlfn.IFS(OR(Q179="", T179="", Q179=0, "", T179=0), "", AND(T179&lt;=Q179,D179&lt;=Q179), "Y", OR(T179&gt;Q179,D179&gt;Q179), "N")</f>
        <v/>
      </c>
      <c r="V179" s="62"/>
      <c r="W179" s="63"/>
    </row>
    <row r="180" spans="1:23" x14ac:dyDescent="0.25">
      <c r="A180" s="58"/>
      <c r="B180" s="59"/>
      <c r="C180" s="59"/>
      <c r="D180" s="60"/>
      <c r="E180" s="59"/>
      <c r="F180" s="59"/>
      <c r="G180" s="60"/>
      <c r="H180" s="43" t="str" cm="1">
        <f t="array" ref="H180">IF(OR(F180="", G180=""), "",
  _xlfn.LET(
    _xlpm.rowIndex, MATCH(F180, INDEX(IncomeTable,,1), 0),
    _xlpm.thresholds, INDEX(IncomeTable, _xlpm.rowIndex, 2):INDEX(IncomeTable, _xlpm.rowIndex, 8),
    _xlpm.labels, {20,30,40,50,60,70,80},
    _xlpm.income, G180,
    IF(_xlpm.income &lt; INDEX(_xlpm.thresholds,1), "Below 20%",
      IF(_xlpm.income &gt; INDEX(_xlpm.thresholds,7), "Above 80%",
        INDEX(_xlpm.labels, _xlfn.XLOOKUP(_xlpm.income, _xlpm.thresholds, _xlfn.SEQUENCE(1,7), , -1))
      )
    )
  )
)</f>
        <v/>
      </c>
      <c r="I180" s="42" t="str">
        <f t="shared" si="10"/>
        <v/>
      </c>
      <c r="J180" s="61"/>
      <c r="K180" s="61"/>
      <c r="L180" s="61"/>
      <c r="M180" s="61"/>
      <c r="N180" s="47" t="str">
        <f t="shared" si="9"/>
        <v/>
      </c>
      <c r="O180" s="48" t="str">
        <f>IF(OR(C180="", B180=""), "",
  INDEX(RentTable, MATCH(B180, {0,1,2,3,4}, 0), MATCH(C180, {20,30,40,50,60,70,80}, 1))
)</f>
        <v/>
      </c>
      <c r="P180" s="60"/>
      <c r="Q180" s="48" t="str">
        <f t="shared" si="11"/>
        <v/>
      </c>
      <c r="R180" s="60"/>
      <c r="S180" s="60"/>
      <c r="T180" s="48" t="str">
        <f t="shared" si="8"/>
        <v/>
      </c>
      <c r="U180" s="42" t="str" cm="1">
        <f t="array" ref="U180">_xlfn.IFS(OR(Q180="", T180="", Q180=0, "", T180=0), "", AND(T180&lt;=Q180,D180&lt;=Q180), "Y", OR(T180&gt;Q180,D180&gt;Q180), "N")</f>
        <v/>
      </c>
      <c r="V180" s="62"/>
      <c r="W180" s="63"/>
    </row>
    <row r="181" spans="1:23" x14ac:dyDescent="0.25">
      <c r="A181" s="58"/>
      <c r="B181" s="59"/>
      <c r="C181" s="59"/>
      <c r="D181" s="60"/>
      <c r="E181" s="59"/>
      <c r="F181" s="59"/>
      <c r="G181" s="60"/>
      <c r="H181" s="43" t="str" cm="1">
        <f t="array" ref="H181">IF(OR(F181="", G181=""), "",
  _xlfn.LET(
    _xlpm.rowIndex, MATCH(F181, INDEX(IncomeTable,,1), 0),
    _xlpm.thresholds, INDEX(IncomeTable, _xlpm.rowIndex, 2):INDEX(IncomeTable, _xlpm.rowIndex, 8),
    _xlpm.labels, {20,30,40,50,60,70,80},
    _xlpm.income, G181,
    IF(_xlpm.income &lt; INDEX(_xlpm.thresholds,1), "Below 20%",
      IF(_xlpm.income &gt; INDEX(_xlpm.thresholds,7), "Above 80%",
        INDEX(_xlpm.labels, _xlfn.XLOOKUP(_xlpm.income, _xlpm.thresholds, _xlfn.SEQUENCE(1,7), , -1))
      )
    )
  )
)</f>
        <v/>
      </c>
      <c r="I181" s="42" t="str">
        <f t="shared" si="10"/>
        <v/>
      </c>
      <c r="J181" s="61"/>
      <c r="K181" s="61"/>
      <c r="L181" s="61"/>
      <c r="M181" s="61"/>
      <c r="N181" s="47" t="str">
        <f t="shared" si="9"/>
        <v/>
      </c>
      <c r="O181" s="48" t="str">
        <f>IF(OR(C181="", B181=""), "",
  INDEX(RentTable, MATCH(B181, {0,1,2,3,4}, 0), MATCH(C181, {20,30,40,50,60,70,80}, 1))
)</f>
        <v/>
      </c>
      <c r="P181" s="60"/>
      <c r="Q181" s="48" t="str">
        <f t="shared" si="11"/>
        <v/>
      </c>
      <c r="R181" s="60"/>
      <c r="S181" s="60"/>
      <c r="T181" s="48" t="str">
        <f t="shared" si="8"/>
        <v/>
      </c>
      <c r="U181" s="42" t="str" cm="1">
        <f t="array" ref="U181">_xlfn.IFS(OR(Q181="", T181="", Q181=0, "", T181=0), "", AND(T181&lt;=Q181,D181&lt;=Q181), "Y", OR(T181&gt;Q181,D181&gt;Q181), "N")</f>
        <v/>
      </c>
      <c r="V181" s="62"/>
      <c r="W181" s="63"/>
    </row>
    <row r="182" spans="1:23" x14ac:dyDescent="0.25">
      <c r="A182" s="58"/>
      <c r="B182" s="59"/>
      <c r="C182" s="59"/>
      <c r="D182" s="60"/>
      <c r="E182" s="59"/>
      <c r="F182" s="59"/>
      <c r="G182" s="60"/>
      <c r="H182" s="43" t="str" cm="1">
        <f t="array" ref="H182">IF(OR(F182="", G182=""), "",
  _xlfn.LET(
    _xlpm.rowIndex, MATCH(F182, INDEX(IncomeTable,,1), 0),
    _xlpm.thresholds, INDEX(IncomeTable, _xlpm.rowIndex, 2):INDEX(IncomeTable, _xlpm.rowIndex, 8),
    _xlpm.labels, {20,30,40,50,60,70,80},
    _xlpm.income, G182,
    IF(_xlpm.income &lt; INDEX(_xlpm.thresholds,1), "Below 20%",
      IF(_xlpm.income &gt; INDEX(_xlpm.thresholds,7), "Above 80%",
        INDEX(_xlpm.labels, _xlfn.XLOOKUP(_xlpm.income, _xlpm.thresholds, _xlfn.SEQUENCE(1,7), , -1))
      )
    )
  )
)</f>
        <v/>
      </c>
      <c r="I182" s="42" t="str">
        <f t="shared" si="10"/>
        <v/>
      </c>
      <c r="J182" s="61"/>
      <c r="K182" s="61"/>
      <c r="L182" s="61"/>
      <c r="M182" s="61"/>
      <c r="N182" s="47" t="str">
        <f t="shared" si="9"/>
        <v/>
      </c>
      <c r="O182" s="48" t="str">
        <f>IF(OR(C182="", B182=""), "",
  INDEX(RentTable, MATCH(B182, {0,1,2,3,4}, 0), MATCH(C182, {20,30,40,50,60,70,80}, 1))
)</f>
        <v/>
      </c>
      <c r="P182" s="60"/>
      <c r="Q182" s="48" t="str">
        <f t="shared" si="11"/>
        <v/>
      </c>
      <c r="R182" s="60"/>
      <c r="S182" s="60"/>
      <c r="T182" s="48" t="str">
        <f t="shared" si="8"/>
        <v/>
      </c>
      <c r="U182" s="42" t="str" cm="1">
        <f t="array" ref="U182">_xlfn.IFS(OR(Q182="", T182="", Q182=0, "", T182=0), "", AND(T182&lt;=Q182,D182&lt;=Q182), "Y", OR(T182&gt;Q182,D182&gt;Q182), "N")</f>
        <v/>
      </c>
      <c r="V182" s="62"/>
      <c r="W182" s="63"/>
    </row>
    <row r="183" spans="1:23" x14ac:dyDescent="0.25">
      <c r="A183" s="58"/>
      <c r="B183" s="59"/>
      <c r="C183" s="59"/>
      <c r="D183" s="60"/>
      <c r="E183" s="59"/>
      <c r="F183" s="59"/>
      <c r="G183" s="60"/>
      <c r="H183" s="43" t="str" cm="1">
        <f t="array" ref="H183">IF(OR(F183="", G183=""), "",
  _xlfn.LET(
    _xlpm.rowIndex, MATCH(F183, INDEX(IncomeTable,,1), 0),
    _xlpm.thresholds, INDEX(IncomeTable, _xlpm.rowIndex, 2):INDEX(IncomeTable, _xlpm.rowIndex, 8),
    _xlpm.labels, {20,30,40,50,60,70,80},
    _xlpm.income, G183,
    IF(_xlpm.income &lt; INDEX(_xlpm.thresholds,1), "Below 20%",
      IF(_xlpm.income &gt; INDEX(_xlpm.thresholds,7), "Above 80%",
        INDEX(_xlpm.labels, _xlfn.XLOOKUP(_xlpm.income, _xlpm.thresholds, _xlfn.SEQUENCE(1,7), , -1))
      )
    )
  )
)</f>
        <v/>
      </c>
      <c r="I183" s="42" t="str">
        <f t="shared" si="10"/>
        <v/>
      </c>
      <c r="J183" s="61"/>
      <c r="K183" s="61"/>
      <c r="L183" s="61"/>
      <c r="M183" s="61"/>
      <c r="N183" s="47" t="str">
        <f t="shared" si="9"/>
        <v/>
      </c>
      <c r="O183" s="48" t="str">
        <f>IF(OR(C183="", B183=""), "",
  INDEX(RentTable, MATCH(B183, {0,1,2,3,4}, 0), MATCH(C183, {20,30,40,50,60,70,80}, 1))
)</f>
        <v/>
      </c>
      <c r="P183" s="60"/>
      <c r="Q183" s="48" t="str">
        <f t="shared" si="11"/>
        <v/>
      </c>
      <c r="R183" s="60"/>
      <c r="S183" s="60"/>
      <c r="T183" s="48" t="str">
        <f t="shared" si="8"/>
        <v/>
      </c>
      <c r="U183" s="42" t="str" cm="1">
        <f t="array" ref="U183">_xlfn.IFS(OR(Q183="", T183="", Q183=0, "", T183=0), "", AND(T183&lt;=Q183,D183&lt;=Q183), "Y", OR(T183&gt;Q183,D183&gt;Q183), "N")</f>
        <v/>
      </c>
      <c r="V183" s="62"/>
      <c r="W183" s="63"/>
    </row>
    <row r="184" spans="1:23" x14ac:dyDescent="0.25">
      <c r="A184" s="58"/>
      <c r="B184" s="59"/>
      <c r="C184" s="59"/>
      <c r="D184" s="60"/>
      <c r="E184" s="59"/>
      <c r="F184" s="59"/>
      <c r="G184" s="60"/>
      <c r="H184" s="43" t="str" cm="1">
        <f t="array" ref="H184">IF(OR(F184="", G184=""), "",
  _xlfn.LET(
    _xlpm.rowIndex, MATCH(F184, INDEX(IncomeTable,,1), 0),
    _xlpm.thresholds, INDEX(IncomeTable, _xlpm.rowIndex, 2):INDEX(IncomeTable, _xlpm.rowIndex, 8),
    _xlpm.labels, {20,30,40,50,60,70,80},
    _xlpm.income, G184,
    IF(_xlpm.income &lt; INDEX(_xlpm.thresholds,1), "Below 20%",
      IF(_xlpm.income &gt; INDEX(_xlpm.thresholds,7), "Above 80%",
        INDEX(_xlpm.labels, _xlfn.XLOOKUP(_xlpm.income, _xlpm.thresholds, _xlfn.SEQUENCE(1,7), , -1))
      )
    )
  )
)</f>
        <v/>
      </c>
      <c r="I184" s="42" t="str">
        <f t="shared" si="10"/>
        <v/>
      </c>
      <c r="J184" s="61"/>
      <c r="K184" s="61"/>
      <c r="L184" s="61"/>
      <c r="M184" s="61"/>
      <c r="N184" s="47" t="str">
        <f t="shared" si="9"/>
        <v/>
      </c>
      <c r="O184" s="48" t="str">
        <f>IF(OR(C184="", B184=""), "",
  INDEX(RentTable, MATCH(B184, {0,1,2,3,4}, 0), MATCH(C184, {20,30,40,50,60,70,80}, 1))
)</f>
        <v/>
      </c>
      <c r="P184" s="60"/>
      <c r="Q184" s="48" t="str">
        <f t="shared" si="11"/>
        <v/>
      </c>
      <c r="R184" s="60"/>
      <c r="S184" s="60"/>
      <c r="T184" s="48" t="str">
        <f t="shared" si="8"/>
        <v/>
      </c>
      <c r="U184" s="42" t="str" cm="1">
        <f t="array" ref="U184">_xlfn.IFS(OR(Q184="", T184="", Q184=0, "", T184=0), "", AND(T184&lt;=Q184,D184&lt;=Q184), "Y", OR(T184&gt;Q184,D184&gt;Q184), "N")</f>
        <v/>
      </c>
      <c r="V184" s="62"/>
      <c r="W184" s="63"/>
    </row>
    <row r="185" spans="1:23" x14ac:dyDescent="0.25">
      <c r="A185" s="58"/>
      <c r="B185" s="59"/>
      <c r="C185" s="59"/>
      <c r="D185" s="60"/>
      <c r="E185" s="59"/>
      <c r="F185" s="59"/>
      <c r="G185" s="60"/>
      <c r="H185" s="43" t="str" cm="1">
        <f t="array" ref="H185">IF(OR(F185="", G185=""), "",
  _xlfn.LET(
    _xlpm.rowIndex, MATCH(F185, INDEX(IncomeTable,,1), 0),
    _xlpm.thresholds, INDEX(IncomeTable, _xlpm.rowIndex, 2):INDEX(IncomeTable, _xlpm.rowIndex, 8),
    _xlpm.labels, {20,30,40,50,60,70,80},
    _xlpm.income, G185,
    IF(_xlpm.income &lt; INDEX(_xlpm.thresholds,1), "Below 20%",
      IF(_xlpm.income &gt; INDEX(_xlpm.thresholds,7), "Above 80%",
        INDEX(_xlpm.labels, _xlfn.XLOOKUP(_xlpm.income, _xlpm.thresholds, _xlfn.SEQUENCE(1,7), , -1))
      )
    )
  )
)</f>
        <v/>
      </c>
      <c r="I185" s="42" t="str">
        <f t="shared" si="10"/>
        <v/>
      </c>
      <c r="J185" s="61"/>
      <c r="K185" s="61"/>
      <c r="L185" s="61"/>
      <c r="M185" s="61"/>
      <c r="N185" s="47" t="str">
        <f t="shared" si="9"/>
        <v/>
      </c>
      <c r="O185" s="48" t="str">
        <f>IF(OR(C185="", B185=""), "",
  INDEX(RentTable, MATCH(B185, {0,1,2,3,4}, 0), MATCH(C185, {20,30,40,50,60,70,80}, 1))
)</f>
        <v/>
      </c>
      <c r="P185" s="60"/>
      <c r="Q185" s="48" t="str">
        <f t="shared" si="11"/>
        <v/>
      </c>
      <c r="R185" s="60"/>
      <c r="S185" s="60"/>
      <c r="T185" s="48" t="str">
        <f t="shared" si="8"/>
        <v/>
      </c>
      <c r="U185" s="42" t="str" cm="1">
        <f t="array" ref="U185">_xlfn.IFS(OR(Q185="", T185="", Q185=0, "", T185=0), "", AND(T185&lt;=Q185,D185&lt;=Q185), "Y", OR(T185&gt;Q185,D185&gt;Q185), "N")</f>
        <v/>
      </c>
      <c r="V185" s="62"/>
      <c r="W185" s="63"/>
    </row>
    <row r="186" spans="1:23" x14ac:dyDescent="0.25">
      <c r="A186" s="58"/>
      <c r="B186" s="59"/>
      <c r="C186" s="59"/>
      <c r="D186" s="60"/>
      <c r="E186" s="59"/>
      <c r="F186" s="59"/>
      <c r="G186" s="60"/>
      <c r="H186" s="43" t="str" cm="1">
        <f t="array" ref="H186">IF(OR(F186="", G186=""), "",
  _xlfn.LET(
    _xlpm.rowIndex, MATCH(F186, INDEX(IncomeTable,,1), 0),
    _xlpm.thresholds, INDEX(IncomeTable, _xlpm.rowIndex, 2):INDEX(IncomeTable, _xlpm.rowIndex, 8),
    _xlpm.labels, {20,30,40,50,60,70,80},
    _xlpm.income, G186,
    IF(_xlpm.income &lt; INDEX(_xlpm.thresholds,1), "Below 20%",
      IF(_xlpm.income &gt; INDEX(_xlpm.thresholds,7), "Above 80%",
        INDEX(_xlpm.labels, _xlfn.XLOOKUP(_xlpm.income, _xlpm.thresholds, _xlfn.SEQUENCE(1,7), , -1))
      )
    )
  )
)</f>
        <v/>
      </c>
      <c r="I186" s="42" t="str">
        <f t="shared" si="10"/>
        <v/>
      </c>
      <c r="J186" s="61"/>
      <c r="K186" s="61"/>
      <c r="L186" s="61"/>
      <c r="M186" s="61"/>
      <c r="N186" s="47" t="str">
        <f t="shared" si="9"/>
        <v/>
      </c>
      <c r="O186" s="48" t="str">
        <f>IF(OR(C186="", B186=""), "",
  INDEX(RentTable, MATCH(B186, {0,1,2,3,4}, 0), MATCH(C186, {20,30,40,50,60,70,80}, 1))
)</f>
        <v/>
      </c>
      <c r="P186" s="60"/>
      <c r="Q186" s="48" t="str">
        <f t="shared" si="11"/>
        <v/>
      </c>
      <c r="R186" s="60"/>
      <c r="S186" s="60"/>
      <c r="T186" s="48" t="str">
        <f t="shared" si="8"/>
        <v/>
      </c>
      <c r="U186" s="42" t="str" cm="1">
        <f t="array" ref="U186">_xlfn.IFS(OR(Q186="", T186="", Q186=0, "", T186=0), "", AND(T186&lt;=Q186,D186&lt;=Q186), "Y", OR(T186&gt;Q186,D186&gt;Q186), "N")</f>
        <v/>
      </c>
      <c r="V186" s="62"/>
      <c r="W186" s="98"/>
    </row>
    <row r="187" spans="1:23" x14ac:dyDescent="0.25">
      <c r="A187" s="58"/>
      <c r="B187" s="59"/>
      <c r="C187" s="59"/>
      <c r="D187" s="60"/>
      <c r="E187" s="59"/>
      <c r="F187" s="59"/>
      <c r="G187" s="60"/>
      <c r="H187" s="43" t="str" cm="1">
        <f t="array" ref="H187">IF(OR(F187="", G187=""), "",
  _xlfn.LET(
    _xlpm.rowIndex, MATCH(F187, INDEX(IncomeTable,,1), 0),
    _xlpm.thresholds, INDEX(IncomeTable, _xlpm.rowIndex, 2):INDEX(IncomeTable, _xlpm.rowIndex, 8),
    _xlpm.labels, {20,30,40,50,60,70,80},
    _xlpm.income, G187,
    IF(_xlpm.income &lt; INDEX(_xlpm.thresholds,1), "Below 20%",
      IF(_xlpm.income &gt; INDEX(_xlpm.thresholds,7), "Above 80%",
        INDEX(_xlpm.labels, _xlfn.XLOOKUP(_xlpm.income, _xlpm.thresholds, _xlfn.SEQUENCE(1,7), , -1))
      )
    )
  )
)</f>
        <v/>
      </c>
      <c r="I187" s="42" t="str">
        <f t="shared" si="10"/>
        <v/>
      </c>
      <c r="J187" s="61"/>
      <c r="K187" s="61"/>
      <c r="L187" s="61"/>
      <c r="M187" s="61"/>
      <c r="N187" s="47" t="str">
        <f t="shared" si="9"/>
        <v/>
      </c>
      <c r="O187" s="48" t="str">
        <f>IF(OR(C187="", B187=""), "",
  INDEX(RentTable, MATCH(B187, {0,1,2,3,4}, 0), MATCH(C187, {20,30,40,50,60,70,80}, 1))
)</f>
        <v/>
      </c>
      <c r="P187" s="60"/>
      <c r="Q187" s="48" t="str">
        <f t="shared" si="11"/>
        <v/>
      </c>
      <c r="R187" s="60"/>
      <c r="S187" s="60"/>
      <c r="T187" s="48" t="str">
        <f t="shared" si="8"/>
        <v/>
      </c>
      <c r="U187" s="42" t="str" cm="1">
        <f t="array" ref="U187">_xlfn.IFS(OR(Q187="", T187="", Q187=0, "", T187=0), "", AND(T187&lt;=Q187,D187&lt;=Q187), "Y", OR(T187&gt;Q187,D187&gt;Q187), "N")</f>
        <v/>
      </c>
      <c r="V187" s="62"/>
      <c r="W187" s="63"/>
    </row>
    <row r="188" spans="1:23" x14ac:dyDescent="0.25">
      <c r="A188" s="58"/>
      <c r="B188" s="59"/>
      <c r="C188" s="59"/>
      <c r="D188" s="60"/>
      <c r="E188" s="59"/>
      <c r="F188" s="59"/>
      <c r="G188" s="60"/>
      <c r="H188" s="43" t="str" cm="1">
        <f t="array" ref="H188">IF(OR(F188="", G188=""), "",
  _xlfn.LET(
    _xlpm.rowIndex, MATCH(F188, INDEX(IncomeTable,,1), 0),
    _xlpm.thresholds, INDEX(IncomeTable, _xlpm.rowIndex, 2):INDEX(IncomeTable, _xlpm.rowIndex, 8),
    _xlpm.labels, {20,30,40,50,60,70,80},
    _xlpm.income, G188,
    IF(_xlpm.income &lt; INDEX(_xlpm.thresholds,1), "Below 20%",
      IF(_xlpm.income &gt; INDEX(_xlpm.thresholds,7), "Above 80%",
        INDEX(_xlpm.labels, _xlfn.XLOOKUP(_xlpm.income, _xlpm.thresholds, _xlfn.SEQUENCE(1,7), , -1))
      )
    )
  )
)</f>
        <v/>
      </c>
      <c r="I188" s="42" t="str">
        <f t="shared" si="10"/>
        <v/>
      </c>
      <c r="J188" s="61"/>
      <c r="K188" s="61"/>
      <c r="L188" s="61"/>
      <c r="M188" s="61"/>
      <c r="N188" s="47" t="str">
        <f t="shared" si="9"/>
        <v/>
      </c>
      <c r="O188" s="48" t="str">
        <f>IF(OR(C188="", B188=""), "",
  INDEX(RentTable, MATCH(B188, {0,1,2,3,4}, 0), MATCH(C188, {20,30,40,50,60,70,80}, 1))
)</f>
        <v/>
      </c>
      <c r="P188" s="60"/>
      <c r="Q188" s="48" t="str">
        <f t="shared" si="11"/>
        <v/>
      </c>
      <c r="R188" s="60"/>
      <c r="S188" s="60"/>
      <c r="T188" s="48" t="str">
        <f t="shared" si="8"/>
        <v/>
      </c>
      <c r="U188" s="42" t="str" cm="1">
        <f t="array" ref="U188">_xlfn.IFS(OR(Q188="", T188="", Q188=0, "", T188=0), "", AND(T188&lt;=Q188,D188&lt;=Q188), "Y", OR(T188&gt;Q188,D188&gt;Q188), "N")</f>
        <v/>
      </c>
      <c r="V188" s="62"/>
      <c r="W188" s="63"/>
    </row>
    <row r="189" spans="1:23" x14ac:dyDescent="0.25">
      <c r="A189" s="58"/>
      <c r="B189" s="59"/>
      <c r="C189" s="59"/>
      <c r="D189" s="60"/>
      <c r="E189" s="59"/>
      <c r="F189" s="59"/>
      <c r="G189" s="60"/>
      <c r="H189" s="43" t="str" cm="1">
        <f t="array" ref="H189">IF(OR(F189="", G189=""), "",
  _xlfn.LET(
    _xlpm.rowIndex, MATCH(F189, INDEX(IncomeTable,,1), 0),
    _xlpm.thresholds, INDEX(IncomeTable, _xlpm.rowIndex, 2):INDEX(IncomeTable, _xlpm.rowIndex, 8),
    _xlpm.labels, {20,30,40,50,60,70,80},
    _xlpm.income, G189,
    IF(_xlpm.income &lt; INDEX(_xlpm.thresholds,1), "Below 20%",
      IF(_xlpm.income &gt; INDEX(_xlpm.thresholds,7), "Above 80%",
        INDEX(_xlpm.labels, _xlfn.XLOOKUP(_xlpm.income, _xlpm.thresholds, _xlfn.SEQUENCE(1,7), , -1))
      )
    )
  )
)</f>
        <v/>
      </c>
      <c r="I189" s="42" t="str">
        <f t="shared" si="10"/>
        <v/>
      </c>
      <c r="J189" s="61"/>
      <c r="K189" s="61"/>
      <c r="L189" s="61"/>
      <c r="M189" s="61"/>
      <c r="N189" s="47" t="str">
        <f t="shared" si="9"/>
        <v/>
      </c>
      <c r="O189" s="48" t="str">
        <f>IF(OR(C189="", B189=""), "",
  INDEX(RentTable, MATCH(B189, {0,1,2,3,4}, 0), MATCH(C189, {20,30,40,50,60,70,80}, 1))
)</f>
        <v/>
      </c>
      <c r="P189" s="60"/>
      <c r="Q189" s="48" t="str">
        <f t="shared" si="11"/>
        <v/>
      </c>
      <c r="R189" s="60"/>
      <c r="S189" s="60"/>
      <c r="T189" s="48" t="str">
        <f t="shared" si="8"/>
        <v/>
      </c>
      <c r="U189" s="42" t="str" cm="1">
        <f t="array" ref="U189">_xlfn.IFS(OR(Q189="", T189="", Q189=0, "", T189=0), "", AND(T189&lt;=Q189,D189&lt;=Q189), "Y", OR(T189&gt;Q189,D189&gt;Q189), "N")</f>
        <v/>
      </c>
      <c r="V189" s="62"/>
      <c r="W189" s="63"/>
    </row>
    <row r="190" spans="1:23" x14ac:dyDescent="0.25">
      <c r="A190" s="58"/>
      <c r="B190" s="59"/>
      <c r="C190" s="59"/>
      <c r="D190" s="60"/>
      <c r="E190" s="59"/>
      <c r="F190" s="59"/>
      <c r="G190" s="60"/>
      <c r="H190" s="43" t="str" cm="1">
        <f t="array" ref="H190">IF(OR(F190="", G190=""), "",
  _xlfn.LET(
    _xlpm.rowIndex, MATCH(F190, INDEX(IncomeTable,,1), 0),
    _xlpm.thresholds, INDEX(IncomeTable, _xlpm.rowIndex, 2):INDEX(IncomeTable, _xlpm.rowIndex, 8),
    _xlpm.labels, {20,30,40,50,60,70,80},
    _xlpm.income, G190,
    IF(_xlpm.income &lt; INDEX(_xlpm.thresholds,1), "Below 20%",
      IF(_xlpm.income &gt; INDEX(_xlpm.thresholds,7), "Above 80%",
        INDEX(_xlpm.labels, _xlfn.XLOOKUP(_xlpm.income, _xlpm.thresholds, _xlfn.SEQUENCE(1,7), , -1))
      )
    )
  )
)</f>
        <v/>
      </c>
      <c r="I190" s="42" t="str">
        <f t="shared" si="10"/>
        <v/>
      </c>
      <c r="J190" s="61"/>
      <c r="K190" s="61"/>
      <c r="L190" s="61"/>
      <c r="M190" s="61"/>
      <c r="N190" s="47" t="str">
        <f t="shared" si="9"/>
        <v/>
      </c>
      <c r="O190" s="48" t="str">
        <f>IF(OR(C190="", B190=""), "",
  INDEX(RentTable, MATCH(B190, {0,1,2,3,4}, 0), MATCH(C190, {20,30,40,50,60,70,80}, 1))
)</f>
        <v/>
      </c>
      <c r="P190" s="60"/>
      <c r="Q190" s="48" t="str">
        <f t="shared" si="11"/>
        <v/>
      </c>
      <c r="R190" s="60"/>
      <c r="S190" s="60"/>
      <c r="T190" s="48" t="str">
        <f t="shared" si="8"/>
        <v/>
      </c>
      <c r="U190" s="42" t="str" cm="1">
        <f t="array" ref="U190">_xlfn.IFS(OR(Q190="", T190="", Q190=0, "", T190=0), "", AND(T190&lt;=Q190,D190&lt;=Q190), "Y", OR(T190&gt;Q190,D190&gt;Q190), "N")</f>
        <v/>
      </c>
      <c r="V190" s="62"/>
      <c r="W190" s="63"/>
    </row>
    <row r="191" spans="1:23" x14ac:dyDescent="0.25">
      <c r="A191" s="58"/>
      <c r="B191" s="59"/>
      <c r="C191" s="59"/>
      <c r="D191" s="60"/>
      <c r="E191" s="59"/>
      <c r="F191" s="59"/>
      <c r="G191" s="60"/>
      <c r="H191" s="43" t="str" cm="1">
        <f t="array" ref="H191">IF(OR(F191="", G191=""), "",
  _xlfn.LET(
    _xlpm.rowIndex, MATCH(F191, INDEX(IncomeTable,,1), 0),
    _xlpm.thresholds, INDEX(IncomeTable, _xlpm.rowIndex, 2):INDEX(IncomeTable, _xlpm.rowIndex, 8),
    _xlpm.labels, {20,30,40,50,60,70,80},
    _xlpm.income, G191,
    IF(_xlpm.income &lt; INDEX(_xlpm.thresholds,1), "Below 20%",
      IF(_xlpm.income &gt; INDEX(_xlpm.thresholds,7), "Above 80%",
        INDEX(_xlpm.labels, _xlfn.XLOOKUP(_xlpm.income, _xlpm.thresholds, _xlfn.SEQUENCE(1,7), , -1))
      )
    )
  )
)</f>
        <v/>
      </c>
      <c r="I191" s="42" t="str">
        <f t="shared" si="10"/>
        <v/>
      </c>
      <c r="J191" s="61"/>
      <c r="K191" s="61"/>
      <c r="L191" s="61"/>
      <c r="M191" s="61"/>
      <c r="N191" s="47" t="str">
        <f t="shared" si="9"/>
        <v/>
      </c>
      <c r="O191" s="48" t="str">
        <f>IF(OR(C191="", B191=""), "",
  INDEX(RentTable, MATCH(B191, {0,1,2,3,4}, 0), MATCH(C191, {20,30,40,50,60,70,80}, 1))
)</f>
        <v/>
      </c>
      <c r="P191" s="60"/>
      <c r="Q191" s="48" t="str">
        <f t="shared" si="11"/>
        <v/>
      </c>
      <c r="R191" s="60"/>
      <c r="S191" s="60"/>
      <c r="T191" s="48" t="str">
        <f t="shared" si="8"/>
        <v/>
      </c>
      <c r="U191" s="42" t="str" cm="1">
        <f t="array" ref="U191">_xlfn.IFS(OR(Q191="", T191="", Q191=0, "", T191=0), "", AND(T191&lt;=Q191,D191&lt;=Q191), "Y", OR(T191&gt;Q191,D191&gt;Q191), "N")</f>
        <v/>
      </c>
      <c r="V191" s="62"/>
      <c r="W191" s="63"/>
    </row>
    <row r="192" spans="1:23" x14ac:dyDescent="0.25">
      <c r="A192" s="58"/>
      <c r="B192" s="59"/>
      <c r="C192" s="59"/>
      <c r="D192" s="60"/>
      <c r="E192" s="59"/>
      <c r="F192" s="59"/>
      <c r="G192" s="60"/>
      <c r="H192" s="43" t="str" cm="1">
        <f t="array" ref="H192">IF(OR(F192="", G192=""), "",
  _xlfn.LET(
    _xlpm.rowIndex, MATCH(F192, INDEX(IncomeTable,,1), 0),
    _xlpm.thresholds, INDEX(IncomeTable, _xlpm.rowIndex, 2):INDEX(IncomeTable, _xlpm.rowIndex, 8),
    _xlpm.labels, {20,30,40,50,60,70,80},
    _xlpm.income, G192,
    IF(_xlpm.income &lt; INDEX(_xlpm.thresholds,1), "Below 20%",
      IF(_xlpm.income &gt; INDEX(_xlpm.thresholds,7), "Above 80%",
        INDEX(_xlpm.labels, _xlfn.XLOOKUP(_xlpm.income, _xlpm.thresholds, _xlfn.SEQUENCE(1,7), , -1))
      )
    )
  )
)</f>
        <v/>
      </c>
      <c r="I192" s="42" t="str">
        <f t="shared" si="10"/>
        <v/>
      </c>
      <c r="J192" s="61"/>
      <c r="K192" s="61"/>
      <c r="L192" s="61"/>
      <c r="M192" s="61"/>
      <c r="N192" s="47" t="str">
        <f t="shared" si="9"/>
        <v/>
      </c>
      <c r="O192" s="48" t="str">
        <f>IF(OR(C192="", B192=""), "",
  INDEX(RentTable, MATCH(B192, {0,1,2,3,4}, 0), MATCH(C192, {20,30,40,50,60,70,80}, 1))
)</f>
        <v/>
      </c>
      <c r="P192" s="60"/>
      <c r="Q192" s="48" t="str">
        <f t="shared" si="11"/>
        <v/>
      </c>
      <c r="R192" s="60"/>
      <c r="S192" s="60"/>
      <c r="T192" s="48" t="str">
        <f t="shared" si="8"/>
        <v/>
      </c>
      <c r="U192" s="42" t="str" cm="1">
        <f t="array" ref="U192">_xlfn.IFS(OR(Q192="", T192="", Q192=0, "", T192=0), "", AND(T192&lt;=Q192,D192&lt;=Q192), "Y", OR(T192&gt;Q192,D192&gt;Q192), "N")</f>
        <v/>
      </c>
      <c r="V192" s="62"/>
      <c r="W192" s="63"/>
    </row>
    <row r="193" spans="1:23" x14ac:dyDescent="0.25">
      <c r="A193" s="58"/>
      <c r="B193" s="59"/>
      <c r="C193" s="59"/>
      <c r="D193" s="60"/>
      <c r="E193" s="59"/>
      <c r="F193" s="59"/>
      <c r="G193" s="60"/>
      <c r="H193" s="43" t="str" cm="1">
        <f t="array" ref="H193">IF(OR(F193="", G193=""), "",
  _xlfn.LET(
    _xlpm.rowIndex, MATCH(F193, INDEX(IncomeTable,,1), 0),
    _xlpm.thresholds, INDEX(IncomeTable, _xlpm.rowIndex, 2):INDEX(IncomeTable, _xlpm.rowIndex, 8),
    _xlpm.labels, {20,30,40,50,60,70,80},
    _xlpm.income, G193,
    IF(_xlpm.income &lt; INDEX(_xlpm.thresholds,1), "Below 20%",
      IF(_xlpm.income &gt; INDEX(_xlpm.thresholds,7), "Above 80%",
        INDEX(_xlpm.labels, _xlfn.XLOOKUP(_xlpm.income, _xlpm.thresholds, _xlfn.SEQUENCE(1,7), , -1))
      )
    )
  )
)</f>
        <v/>
      </c>
      <c r="I193" s="42" t="str">
        <f t="shared" si="10"/>
        <v/>
      </c>
      <c r="J193" s="61"/>
      <c r="K193" s="61"/>
      <c r="L193" s="61"/>
      <c r="M193" s="61"/>
      <c r="N193" s="47" t="str">
        <f t="shared" si="9"/>
        <v/>
      </c>
      <c r="O193" s="48" t="str">
        <f>IF(OR(C193="", B193=""), "",
  INDEX(RentTable, MATCH(B193, {0,1,2,3,4}, 0), MATCH(C193, {20,30,40,50,60,70,80}, 1))
)</f>
        <v/>
      </c>
      <c r="P193" s="60"/>
      <c r="Q193" s="48" t="str">
        <f t="shared" si="11"/>
        <v/>
      </c>
      <c r="R193" s="60"/>
      <c r="S193" s="60"/>
      <c r="T193" s="48" t="str">
        <f t="shared" si="8"/>
        <v/>
      </c>
      <c r="U193" s="42" t="str" cm="1">
        <f t="array" ref="U193">_xlfn.IFS(OR(Q193="", T193="", Q193=0, "", T193=0), "", AND(T193&lt;=Q193,D193&lt;=Q193), "Y", OR(T193&gt;Q193,D193&gt;Q193), "N")</f>
        <v/>
      </c>
      <c r="V193" s="62"/>
      <c r="W193" s="63"/>
    </row>
    <row r="194" spans="1:23" x14ac:dyDescent="0.25">
      <c r="A194" s="58"/>
      <c r="B194" s="59"/>
      <c r="C194" s="59"/>
      <c r="D194" s="60"/>
      <c r="E194" s="59"/>
      <c r="F194" s="59"/>
      <c r="G194" s="60"/>
      <c r="H194" s="43" t="str" cm="1">
        <f t="array" ref="H194">IF(OR(F194="", G194=""), "",
  _xlfn.LET(
    _xlpm.rowIndex, MATCH(F194, INDEX(IncomeTable,,1), 0),
    _xlpm.thresholds, INDEX(IncomeTable, _xlpm.rowIndex, 2):INDEX(IncomeTable, _xlpm.rowIndex, 8),
    _xlpm.labels, {20,30,40,50,60,70,80},
    _xlpm.income, G194,
    IF(_xlpm.income &lt; INDEX(_xlpm.thresholds,1), "Below 20%",
      IF(_xlpm.income &gt; INDEX(_xlpm.thresholds,7), "Above 80%",
        INDEX(_xlpm.labels, _xlfn.XLOOKUP(_xlpm.income, _xlpm.thresholds, _xlfn.SEQUENCE(1,7), , -1))
      )
    )
  )
)</f>
        <v/>
      </c>
      <c r="I194" s="42" t="str">
        <f t="shared" si="10"/>
        <v/>
      </c>
      <c r="J194" s="61"/>
      <c r="K194" s="61"/>
      <c r="L194" s="61"/>
      <c r="M194" s="61"/>
      <c r="N194" s="47" t="str">
        <f t="shared" si="9"/>
        <v/>
      </c>
      <c r="O194" s="48" t="str">
        <f>IF(OR(C194="", B194=""), "",
  INDEX(RentTable, MATCH(B194, {0,1,2,3,4}, 0), MATCH(C194, {20,30,40,50,60,70,80}, 1))
)</f>
        <v/>
      </c>
      <c r="P194" s="60"/>
      <c r="Q194" s="48" t="str">
        <f t="shared" si="11"/>
        <v/>
      </c>
      <c r="R194" s="60"/>
      <c r="S194" s="60"/>
      <c r="T194" s="48" t="str">
        <f t="shared" si="8"/>
        <v/>
      </c>
      <c r="U194" s="42" t="str" cm="1">
        <f t="array" ref="U194">_xlfn.IFS(OR(Q194="", T194="", Q194=0, "", T194=0), "", AND(T194&lt;=Q194,D194&lt;=Q194), "Y", OR(T194&gt;Q194,D194&gt;Q194), "N")</f>
        <v/>
      </c>
      <c r="V194" s="62"/>
      <c r="W194" s="63"/>
    </row>
    <row r="195" spans="1:23" x14ac:dyDescent="0.25">
      <c r="A195" s="58"/>
      <c r="B195" s="59"/>
      <c r="C195" s="59"/>
      <c r="D195" s="60"/>
      <c r="E195" s="59"/>
      <c r="F195" s="59"/>
      <c r="G195" s="60"/>
      <c r="H195" s="43" t="str" cm="1">
        <f t="array" ref="H195">IF(OR(F195="", G195=""), "",
  _xlfn.LET(
    _xlpm.rowIndex, MATCH(F195, INDEX(IncomeTable,,1), 0),
    _xlpm.thresholds, INDEX(IncomeTable, _xlpm.rowIndex, 2):INDEX(IncomeTable, _xlpm.rowIndex, 8),
    _xlpm.labels, {20,30,40,50,60,70,80},
    _xlpm.income, G195,
    IF(_xlpm.income &lt; INDEX(_xlpm.thresholds,1), "Below 20%",
      IF(_xlpm.income &gt; INDEX(_xlpm.thresholds,7), "Above 80%",
        INDEX(_xlpm.labels, _xlfn.XLOOKUP(_xlpm.income, _xlpm.thresholds, _xlfn.SEQUENCE(1,7), , -1))
      )
    )
  )
)</f>
        <v/>
      </c>
      <c r="I195" s="42" t="str">
        <f t="shared" si="10"/>
        <v/>
      </c>
      <c r="J195" s="61"/>
      <c r="K195" s="61"/>
      <c r="L195" s="61"/>
      <c r="M195" s="61"/>
      <c r="N195" s="47" t="str">
        <f t="shared" si="9"/>
        <v/>
      </c>
      <c r="O195" s="48" t="str">
        <f>IF(OR(C195="", B195=""), "",
  INDEX(RentTable, MATCH(B195, {0,1,2,3,4}, 0), MATCH(C195, {20,30,40,50,60,70,80}, 1))
)</f>
        <v/>
      </c>
      <c r="P195" s="60"/>
      <c r="Q195" s="48" t="str">
        <f t="shared" si="11"/>
        <v/>
      </c>
      <c r="R195" s="60"/>
      <c r="S195" s="60"/>
      <c r="T195" s="48" t="str">
        <f t="shared" si="8"/>
        <v/>
      </c>
      <c r="U195" s="42" t="str" cm="1">
        <f t="array" ref="U195">_xlfn.IFS(OR(Q195="", T195="", Q195=0, "", T195=0), "", AND(T195&lt;=Q195,D195&lt;=Q195), "Y", OR(T195&gt;Q195,D195&gt;Q195), "N")</f>
        <v/>
      </c>
      <c r="V195" s="62"/>
      <c r="W195" s="63"/>
    </row>
    <row r="196" spans="1:23" x14ac:dyDescent="0.25">
      <c r="A196" s="58"/>
      <c r="B196" s="59"/>
      <c r="C196" s="59"/>
      <c r="D196" s="60"/>
      <c r="E196" s="59"/>
      <c r="F196" s="59"/>
      <c r="G196" s="60"/>
      <c r="H196" s="43" t="str" cm="1">
        <f t="array" ref="H196">IF(OR(F196="", G196=""), "",
  _xlfn.LET(
    _xlpm.rowIndex, MATCH(F196, INDEX(IncomeTable,,1), 0),
    _xlpm.thresholds, INDEX(IncomeTable, _xlpm.rowIndex, 2):INDEX(IncomeTable, _xlpm.rowIndex, 8),
    _xlpm.labels, {20,30,40,50,60,70,80},
    _xlpm.income, G196,
    IF(_xlpm.income &lt; INDEX(_xlpm.thresholds,1), "Below 20%",
      IF(_xlpm.income &gt; INDEX(_xlpm.thresholds,7), "Above 80%",
        INDEX(_xlpm.labels, _xlfn.XLOOKUP(_xlpm.income, _xlpm.thresholds, _xlfn.SEQUENCE(1,7), , -1))
      )
    )
  )
)</f>
        <v/>
      </c>
      <c r="I196" s="42" t="str">
        <f t="shared" si="10"/>
        <v/>
      </c>
      <c r="J196" s="61"/>
      <c r="K196" s="61"/>
      <c r="L196" s="61"/>
      <c r="M196" s="61"/>
      <c r="N196" s="47" t="str">
        <f t="shared" si="9"/>
        <v/>
      </c>
      <c r="O196" s="48" t="str">
        <f>IF(OR(C196="", B196=""), "",
  INDEX(RentTable, MATCH(B196, {0,1,2,3,4}, 0), MATCH(C196, {20,30,40,50,60,70,80}, 1))
)</f>
        <v/>
      </c>
      <c r="P196" s="60"/>
      <c r="Q196" s="48" t="str">
        <f t="shared" si="11"/>
        <v/>
      </c>
      <c r="R196" s="60"/>
      <c r="S196" s="60"/>
      <c r="T196" s="48" t="str">
        <f t="shared" si="8"/>
        <v/>
      </c>
      <c r="U196" s="42" t="str" cm="1">
        <f t="array" ref="U196">_xlfn.IFS(OR(Q196="", T196="", Q196=0, "", T196=0), "", AND(T196&lt;=Q196,D196&lt;=Q196), "Y", OR(T196&gt;Q196,D196&gt;Q196), "N")</f>
        <v/>
      </c>
      <c r="V196" s="62"/>
      <c r="W196" s="63"/>
    </row>
    <row r="197" spans="1:23" x14ac:dyDescent="0.25">
      <c r="A197" s="58"/>
      <c r="B197" s="59"/>
      <c r="C197" s="59"/>
      <c r="D197" s="60"/>
      <c r="E197" s="59"/>
      <c r="F197" s="59"/>
      <c r="G197" s="60"/>
      <c r="H197" s="43" t="str" cm="1">
        <f t="array" ref="H197">IF(OR(F197="", G197=""), "",
  _xlfn.LET(
    _xlpm.rowIndex, MATCH(F197, INDEX(IncomeTable,,1), 0),
    _xlpm.thresholds, INDEX(IncomeTable, _xlpm.rowIndex, 2):INDEX(IncomeTable, _xlpm.rowIndex, 8),
    _xlpm.labels, {20,30,40,50,60,70,80},
    _xlpm.income, G197,
    IF(_xlpm.income &lt; INDEX(_xlpm.thresholds,1), "Below 20%",
      IF(_xlpm.income &gt; INDEX(_xlpm.thresholds,7), "Above 80%",
        INDEX(_xlpm.labels, _xlfn.XLOOKUP(_xlpm.income, _xlpm.thresholds, _xlfn.SEQUENCE(1,7), , -1))
      )
    )
  )
)</f>
        <v/>
      </c>
      <c r="I197" s="42" t="str">
        <f t="shared" si="10"/>
        <v/>
      </c>
      <c r="J197" s="61"/>
      <c r="K197" s="61"/>
      <c r="L197" s="61"/>
      <c r="M197" s="61"/>
      <c r="N197" s="47" t="str">
        <f t="shared" si="9"/>
        <v/>
      </c>
      <c r="O197" s="48" t="str">
        <f>IF(OR(C197="", B197=""), "",
  INDEX(RentTable, MATCH(B197, {0,1,2,3,4}, 0), MATCH(C197, {20,30,40,50,60,70,80}, 1))
)</f>
        <v/>
      </c>
      <c r="P197" s="60"/>
      <c r="Q197" s="48" t="str">
        <f t="shared" si="11"/>
        <v/>
      </c>
      <c r="R197" s="60"/>
      <c r="S197" s="60"/>
      <c r="T197" s="48" t="str">
        <f t="shared" si="8"/>
        <v/>
      </c>
      <c r="U197" s="42" t="str" cm="1">
        <f t="array" ref="U197">_xlfn.IFS(OR(Q197="", T197="", Q197=0, "", T197=0), "", AND(T197&lt;=Q197,D197&lt;=Q197), "Y", OR(T197&gt;Q197,D197&gt;Q197), "N")</f>
        <v/>
      </c>
      <c r="V197" s="62"/>
      <c r="W197" s="63"/>
    </row>
    <row r="198" spans="1:23" x14ac:dyDescent="0.25">
      <c r="A198" s="58"/>
      <c r="B198" s="59"/>
      <c r="C198" s="59"/>
      <c r="D198" s="60"/>
      <c r="E198" s="59"/>
      <c r="F198" s="59"/>
      <c r="G198" s="60"/>
      <c r="H198" s="43" t="str" cm="1">
        <f t="array" ref="H198">IF(OR(F198="", G198=""), "",
  _xlfn.LET(
    _xlpm.rowIndex, MATCH(F198, INDEX(IncomeTable,,1), 0),
    _xlpm.thresholds, INDEX(IncomeTable, _xlpm.rowIndex, 2):INDEX(IncomeTable, _xlpm.rowIndex, 8),
    _xlpm.labels, {20,30,40,50,60,70,80},
    _xlpm.income, G198,
    IF(_xlpm.income &lt; INDEX(_xlpm.thresholds,1), "Below 20%",
      IF(_xlpm.income &gt; INDEX(_xlpm.thresholds,7), "Above 80%",
        INDEX(_xlpm.labels, _xlfn.XLOOKUP(_xlpm.income, _xlpm.thresholds, _xlfn.SEQUENCE(1,7), , -1))
      )
    )
  )
)</f>
        <v/>
      </c>
      <c r="I198" s="42" t="str">
        <f t="shared" si="10"/>
        <v/>
      </c>
      <c r="J198" s="61"/>
      <c r="K198" s="61"/>
      <c r="L198" s="61"/>
      <c r="M198" s="61"/>
      <c r="N198" s="47" t="str">
        <f t="shared" si="9"/>
        <v/>
      </c>
      <c r="O198" s="48" t="str">
        <f>IF(OR(C198="", B198=""), "",
  INDEX(RentTable, MATCH(B198, {0,1,2,3,4}, 0), MATCH(C198, {20,30,40,50,60,70,80}, 1))
)</f>
        <v/>
      </c>
      <c r="P198" s="60"/>
      <c r="Q198" s="48" t="str">
        <f t="shared" si="11"/>
        <v/>
      </c>
      <c r="R198" s="60"/>
      <c r="S198" s="60"/>
      <c r="T198" s="48" t="str">
        <f t="shared" si="8"/>
        <v/>
      </c>
      <c r="U198" s="42" t="str" cm="1">
        <f t="array" ref="U198">_xlfn.IFS(OR(Q198="", T198="", Q198=0, "", T198=0), "", AND(T198&lt;=Q198,D198&lt;=Q198), "Y", OR(T198&gt;Q198,D198&gt;Q198), "N")</f>
        <v/>
      </c>
      <c r="V198" s="62"/>
      <c r="W198" s="63"/>
    </row>
    <row r="199" spans="1:23" x14ac:dyDescent="0.25">
      <c r="A199" s="58"/>
      <c r="B199" s="59"/>
      <c r="C199" s="59"/>
      <c r="D199" s="60"/>
      <c r="E199" s="59"/>
      <c r="F199" s="59"/>
      <c r="G199" s="60"/>
      <c r="H199" s="43" t="str" cm="1">
        <f t="array" ref="H199">IF(OR(F199="", G199=""), "",
  _xlfn.LET(
    _xlpm.rowIndex, MATCH(F199, INDEX(IncomeTable,,1), 0),
    _xlpm.thresholds, INDEX(IncomeTable, _xlpm.rowIndex, 2):INDEX(IncomeTable, _xlpm.rowIndex, 8),
    _xlpm.labels, {20,30,40,50,60,70,80},
    _xlpm.income, G199,
    IF(_xlpm.income &lt; INDEX(_xlpm.thresholds,1), "Below 20%",
      IF(_xlpm.income &gt; INDEX(_xlpm.thresholds,7), "Above 80%",
        INDEX(_xlpm.labels, _xlfn.XLOOKUP(_xlpm.income, _xlpm.thresholds, _xlfn.SEQUENCE(1,7), , -1))
      )
    )
  )
)</f>
        <v/>
      </c>
      <c r="I199" s="42" t="str">
        <f t="shared" si="10"/>
        <v/>
      </c>
      <c r="J199" s="61"/>
      <c r="K199" s="61"/>
      <c r="L199" s="61"/>
      <c r="M199" s="61"/>
      <c r="N199" s="47" t="str">
        <f t="shared" si="9"/>
        <v/>
      </c>
      <c r="O199" s="48" t="str">
        <f>IF(OR(C199="", B199=""), "",
  INDEX(RentTable, MATCH(B199, {0,1,2,3,4}, 0), MATCH(C199, {20,30,40,50,60,70,80}, 1))
)</f>
        <v/>
      </c>
      <c r="P199" s="60"/>
      <c r="Q199" s="48" t="str">
        <f t="shared" si="11"/>
        <v/>
      </c>
      <c r="R199" s="60"/>
      <c r="S199" s="60"/>
      <c r="T199" s="48" t="str">
        <f t="shared" si="8"/>
        <v/>
      </c>
      <c r="U199" s="42" t="str" cm="1">
        <f t="array" ref="U199">_xlfn.IFS(OR(Q199="", T199="", Q199=0, "", T199=0), "", AND(T199&lt;=Q199,D199&lt;=Q199), "Y", OR(T199&gt;Q199,D199&gt;Q199), "N")</f>
        <v/>
      </c>
      <c r="V199" s="62"/>
      <c r="W199" s="63"/>
    </row>
    <row r="200" spans="1:23" x14ac:dyDescent="0.25">
      <c r="A200" s="58"/>
      <c r="B200" s="59"/>
      <c r="C200" s="59"/>
      <c r="D200" s="60"/>
      <c r="E200" s="59"/>
      <c r="F200" s="59"/>
      <c r="G200" s="60"/>
      <c r="H200" s="43" t="str" cm="1">
        <f t="array" ref="H200">IF(OR(F200="", G200=""), "",
  _xlfn.LET(
    _xlpm.rowIndex, MATCH(F200, INDEX(IncomeTable,,1), 0),
    _xlpm.thresholds, INDEX(IncomeTable, _xlpm.rowIndex, 2):INDEX(IncomeTable, _xlpm.rowIndex, 8),
    _xlpm.labels, {20,30,40,50,60,70,80},
    _xlpm.income, G200,
    IF(_xlpm.income &lt; INDEX(_xlpm.thresholds,1), "Below 20%",
      IF(_xlpm.income &gt; INDEX(_xlpm.thresholds,7), "Above 80%",
        INDEX(_xlpm.labels, _xlfn.XLOOKUP(_xlpm.income, _xlpm.thresholds, _xlfn.SEQUENCE(1,7), , -1))
      )
    )
  )
)</f>
        <v/>
      </c>
      <c r="I200" s="42" t="str">
        <f t="shared" si="10"/>
        <v/>
      </c>
      <c r="J200" s="61"/>
      <c r="K200" s="61"/>
      <c r="L200" s="61"/>
      <c r="M200" s="61"/>
      <c r="N200" s="47" t="str">
        <f t="shared" si="9"/>
        <v/>
      </c>
      <c r="O200" s="48" t="str">
        <f>IF(OR(C200="", B200=""), "",
  INDEX(RentTable, MATCH(B200, {0,1,2,3,4}, 0), MATCH(C200, {20,30,40,50,60,70,80}, 1))
)</f>
        <v/>
      </c>
      <c r="P200" s="60"/>
      <c r="Q200" s="48" t="str">
        <f t="shared" si="11"/>
        <v/>
      </c>
      <c r="R200" s="60"/>
      <c r="S200" s="60"/>
      <c r="T200" s="48" t="str">
        <f t="shared" si="8"/>
        <v/>
      </c>
      <c r="U200" s="42" t="str" cm="1">
        <f t="array" ref="U200">_xlfn.IFS(OR(Q200="", T200="", Q200=0, "", T200=0), "", AND(T200&lt;=Q200,D200&lt;=Q200), "Y", OR(T200&gt;Q200,D200&gt;Q200), "N")</f>
        <v/>
      </c>
      <c r="V200" s="62"/>
      <c r="W200" s="63"/>
    </row>
    <row r="201" spans="1:23" x14ac:dyDescent="0.25">
      <c r="A201" s="58"/>
      <c r="B201" s="59"/>
      <c r="C201" s="59"/>
      <c r="D201" s="60"/>
      <c r="E201" s="59"/>
      <c r="F201" s="59"/>
      <c r="G201" s="60"/>
      <c r="H201" s="43" t="str" cm="1">
        <f t="array" ref="H201">IF(OR(F201="", G201=""), "",
  _xlfn.LET(
    _xlpm.rowIndex, MATCH(F201, INDEX(IncomeTable,,1), 0),
    _xlpm.thresholds, INDEX(IncomeTable, _xlpm.rowIndex, 2):INDEX(IncomeTable, _xlpm.rowIndex, 8),
    _xlpm.labels, {20,30,40,50,60,70,80},
    _xlpm.income, G201,
    IF(_xlpm.income &lt; INDEX(_xlpm.thresholds,1), "Below 20%",
      IF(_xlpm.income &gt; INDEX(_xlpm.thresholds,7), "Above 80%",
        INDEX(_xlpm.labels, _xlfn.XLOOKUP(_xlpm.income, _xlpm.thresholds, _xlfn.SEQUENCE(1,7), , -1))
      )
    )
  )
)</f>
        <v/>
      </c>
      <c r="I201" s="42" t="str">
        <f t="shared" si="10"/>
        <v/>
      </c>
      <c r="J201" s="61"/>
      <c r="K201" s="61"/>
      <c r="L201" s="61"/>
      <c r="M201" s="61"/>
      <c r="N201" s="47" t="str">
        <f t="shared" si="9"/>
        <v/>
      </c>
      <c r="O201" s="48" t="str">
        <f>IF(OR(C201="", B201=""), "",
  INDEX(RentTable, MATCH(B201, {0,1,2,3,4}, 0), MATCH(C201, {20,30,40,50,60,70,80}, 1))
)</f>
        <v/>
      </c>
      <c r="P201" s="60"/>
      <c r="Q201" s="48" t="str">
        <f t="shared" si="11"/>
        <v/>
      </c>
      <c r="R201" s="60"/>
      <c r="S201" s="60"/>
      <c r="T201" s="48" t="str">
        <f t="shared" si="8"/>
        <v/>
      </c>
      <c r="U201" s="42" t="str" cm="1">
        <f t="array" ref="U201">_xlfn.IFS(OR(Q201="", T201="", Q201=0, "", T201=0), "", AND(T201&lt;=Q201,D201&lt;=Q201), "Y", OR(T201&gt;Q201,D201&gt;Q201), "N")</f>
        <v/>
      </c>
      <c r="V201" s="62"/>
      <c r="W201" s="63"/>
    </row>
    <row r="202" spans="1:23" x14ac:dyDescent="0.25">
      <c r="A202" s="58"/>
      <c r="B202" s="59"/>
      <c r="C202" s="59"/>
      <c r="D202" s="60"/>
      <c r="E202" s="59"/>
      <c r="F202" s="59"/>
      <c r="G202" s="60"/>
      <c r="H202" s="43" t="str" cm="1">
        <f t="array" ref="H202">IF(OR(F202="", G202=""), "",
  _xlfn.LET(
    _xlpm.rowIndex, MATCH(F202, INDEX(IncomeTable,,1), 0),
    _xlpm.thresholds, INDEX(IncomeTable, _xlpm.rowIndex, 2):INDEX(IncomeTable, _xlpm.rowIndex, 8),
    _xlpm.labels, {20,30,40,50,60,70,80},
    _xlpm.income, G202,
    IF(_xlpm.income &lt; INDEX(_xlpm.thresholds,1), "Below 20%",
      IF(_xlpm.income &gt; INDEX(_xlpm.thresholds,7), "Above 80%",
        INDEX(_xlpm.labels, _xlfn.XLOOKUP(_xlpm.income, _xlpm.thresholds, _xlfn.SEQUENCE(1,7), , -1))
      )
    )
  )
)</f>
        <v/>
      </c>
      <c r="I202" s="42" t="str">
        <f t="shared" si="10"/>
        <v/>
      </c>
      <c r="J202" s="61"/>
      <c r="K202" s="61"/>
      <c r="L202" s="61"/>
      <c r="M202" s="61"/>
      <c r="N202" s="47" t="str">
        <f t="shared" si="9"/>
        <v/>
      </c>
      <c r="O202" s="48" t="str">
        <f>IF(OR(C202="", B202=""), "",
  INDEX(RentTable, MATCH(B202, {0,1,2,3,4}, 0), MATCH(C202, {20,30,40,50,60,70,80}, 1))
)</f>
        <v/>
      </c>
      <c r="P202" s="60"/>
      <c r="Q202" s="48" t="str">
        <f t="shared" si="11"/>
        <v/>
      </c>
      <c r="R202" s="60"/>
      <c r="S202" s="60"/>
      <c r="T202" s="48" t="str">
        <f t="shared" si="8"/>
        <v/>
      </c>
      <c r="U202" s="42" t="str" cm="1">
        <f t="array" ref="U202">_xlfn.IFS(OR(Q202="", T202="", Q202=0, "", T202=0), "", AND(T202&lt;=Q202,D202&lt;=Q202), "Y", OR(T202&gt;Q202,D202&gt;Q202), "N")</f>
        <v/>
      </c>
      <c r="V202" s="62"/>
      <c r="W202" s="63"/>
    </row>
    <row r="203" spans="1:23" x14ac:dyDescent="0.25">
      <c r="A203" s="58"/>
      <c r="B203" s="59"/>
      <c r="C203" s="59"/>
      <c r="D203" s="60"/>
      <c r="E203" s="59"/>
      <c r="F203" s="59"/>
      <c r="G203" s="60"/>
      <c r="H203" s="43" t="str" cm="1">
        <f t="array" ref="H203">IF(OR(F203="", G203=""), "",
  _xlfn.LET(
    _xlpm.rowIndex, MATCH(F203, INDEX(IncomeTable,,1), 0),
    _xlpm.thresholds, INDEX(IncomeTable, _xlpm.rowIndex, 2):INDEX(IncomeTable, _xlpm.rowIndex, 8),
    _xlpm.labels, {20,30,40,50,60,70,80},
    _xlpm.income, G203,
    IF(_xlpm.income &lt; INDEX(_xlpm.thresholds,1), "Below 20%",
      IF(_xlpm.income &gt; INDEX(_xlpm.thresholds,7), "Above 80%",
        INDEX(_xlpm.labels, _xlfn.XLOOKUP(_xlpm.income, _xlpm.thresholds, _xlfn.SEQUENCE(1,7), , -1))
      )
    )
  )
)</f>
        <v/>
      </c>
      <c r="I203" s="42" t="str">
        <f t="shared" si="10"/>
        <v/>
      </c>
      <c r="J203" s="61"/>
      <c r="K203" s="61"/>
      <c r="L203" s="61"/>
      <c r="M203" s="61"/>
      <c r="N203" s="47" t="str">
        <f t="shared" si="9"/>
        <v/>
      </c>
      <c r="O203" s="48" t="str">
        <f>IF(OR(C203="", B203=""), "",
  INDEX(RentTable, MATCH(B203, {0,1,2,3,4}, 0), MATCH(C203, {20,30,40,50,60,70,80}, 1))
)</f>
        <v/>
      </c>
      <c r="P203" s="60"/>
      <c r="Q203" s="48" t="str">
        <f t="shared" si="11"/>
        <v/>
      </c>
      <c r="R203" s="60"/>
      <c r="S203" s="60"/>
      <c r="T203" s="48" t="str">
        <f t="shared" si="8"/>
        <v/>
      </c>
      <c r="U203" s="42" t="str" cm="1">
        <f t="array" ref="U203">_xlfn.IFS(OR(Q203="", T203="", Q203=0, "", T203=0), "", AND(T203&lt;=Q203,D203&lt;=Q203), "Y", OR(T203&gt;Q203,D203&gt;Q203), "N")</f>
        <v/>
      </c>
      <c r="V203" s="62"/>
      <c r="W203" s="63"/>
    </row>
    <row r="204" spans="1:23" x14ac:dyDescent="0.25">
      <c r="A204" s="58"/>
      <c r="B204" s="59"/>
      <c r="C204" s="59"/>
      <c r="D204" s="60"/>
      <c r="E204" s="59"/>
      <c r="F204" s="59"/>
      <c r="G204" s="60"/>
      <c r="H204" s="43" t="str" cm="1">
        <f t="array" ref="H204">IF(OR(F204="", G204=""), "",
  _xlfn.LET(
    _xlpm.rowIndex, MATCH(F204, INDEX(IncomeTable,,1), 0),
    _xlpm.thresholds, INDEX(IncomeTable, _xlpm.rowIndex, 2):INDEX(IncomeTable, _xlpm.rowIndex, 8),
    _xlpm.labels, {20,30,40,50,60,70,80},
    _xlpm.income, G204,
    IF(_xlpm.income &lt; INDEX(_xlpm.thresholds,1), "Below 20%",
      IF(_xlpm.income &gt; INDEX(_xlpm.thresholds,7), "Above 80%",
        INDEX(_xlpm.labels, _xlfn.XLOOKUP(_xlpm.income, _xlpm.thresholds, _xlfn.SEQUENCE(1,7), , -1))
      )
    )
  )
)</f>
        <v/>
      </c>
      <c r="I204" s="42" t="str">
        <f t="shared" si="10"/>
        <v/>
      </c>
      <c r="J204" s="61"/>
      <c r="K204" s="61"/>
      <c r="L204" s="61"/>
      <c r="M204" s="61"/>
      <c r="N204" s="47" t="str">
        <f t="shared" si="9"/>
        <v/>
      </c>
      <c r="O204" s="48" t="str">
        <f>IF(OR(C204="", B204=""), "",
  INDEX(RentTable, MATCH(B204, {0,1,2,3,4}, 0), MATCH(C204, {20,30,40,50,60,70,80}, 1))
)</f>
        <v/>
      </c>
      <c r="P204" s="60"/>
      <c r="Q204" s="48" t="str">
        <f t="shared" si="11"/>
        <v/>
      </c>
      <c r="R204" s="60"/>
      <c r="S204" s="60"/>
      <c r="T204" s="48" t="str">
        <f t="shared" si="8"/>
        <v/>
      </c>
      <c r="U204" s="42" t="str" cm="1">
        <f t="array" ref="U204">_xlfn.IFS(OR(Q204="", T204="", Q204=0, "", T204=0), "", AND(T204&lt;=Q204,D204&lt;=Q204), "Y", OR(T204&gt;Q204,D204&gt;Q204), "N")</f>
        <v/>
      </c>
      <c r="V204" s="62"/>
      <c r="W204" s="63"/>
    </row>
    <row r="205" spans="1:23" x14ac:dyDescent="0.25">
      <c r="A205" s="58"/>
      <c r="B205" s="59"/>
      <c r="C205" s="59"/>
      <c r="D205" s="60"/>
      <c r="E205" s="59"/>
      <c r="F205" s="59"/>
      <c r="G205" s="60"/>
      <c r="H205" s="43" t="str" cm="1">
        <f t="array" ref="H205">IF(OR(F205="", G205=""), "",
  _xlfn.LET(
    _xlpm.rowIndex, MATCH(F205, INDEX(IncomeTable,,1), 0),
    _xlpm.thresholds, INDEX(IncomeTable, _xlpm.rowIndex, 2):INDEX(IncomeTable, _xlpm.rowIndex, 8),
    _xlpm.labels, {20,30,40,50,60,70,80},
    _xlpm.income, G205,
    IF(_xlpm.income &lt; INDEX(_xlpm.thresholds,1), "Below 20%",
      IF(_xlpm.income &gt; INDEX(_xlpm.thresholds,7), "Above 80%",
        INDEX(_xlpm.labels, _xlfn.XLOOKUP(_xlpm.income, _xlpm.thresholds, _xlfn.SEQUENCE(1,7), , -1))
      )
    )
  )
)</f>
        <v/>
      </c>
      <c r="I205" s="42" t="str">
        <f t="shared" si="10"/>
        <v/>
      </c>
      <c r="J205" s="61"/>
      <c r="K205" s="61"/>
      <c r="L205" s="61"/>
      <c r="M205" s="61"/>
      <c r="N205" s="47" t="str">
        <f t="shared" si="9"/>
        <v/>
      </c>
      <c r="O205" s="48" t="str">
        <f>IF(OR(C205="", B205=""), "",
  INDEX(RentTable, MATCH(B205, {0,1,2,3,4}, 0), MATCH(C205, {20,30,40,50,60,70,80}, 1))
)</f>
        <v/>
      </c>
      <c r="P205" s="60"/>
      <c r="Q205" s="48" t="str">
        <f t="shared" si="11"/>
        <v/>
      </c>
      <c r="R205" s="60"/>
      <c r="S205" s="60"/>
      <c r="T205" s="48" t="str">
        <f t="shared" si="8"/>
        <v/>
      </c>
      <c r="U205" s="42" t="str" cm="1">
        <f t="array" ref="U205">_xlfn.IFS(OR(Q205="", T205="", Q205=0, "", T205=0), "", AND(T205&lt;=Q205,D205&lt;=Q205), "Y", OR(T205&gt;Q205,D205&gt;Q205), "N")</f>
        <v/>
      </c>
      <c r="V205" s="62"/>
      <c r="W205" s="63"/>
    </row>
    <row r="206" spans="1:23" x14ac:dyDescent="0.25">
      <c r="A206" s="58"/>
      <c r="B206" s="59"/>
      <c r="C206" s="59"/>
      <c r="D206" s="60"/>
      <c r="E206" s="59"/>
      <c r="F206" s="59"/>
      <c r="G206" s="60"/>
      <c r="H206" s="43" t="str" cm="1">
        <f t="array" ref="H206">IF(OR(F206="", G206=""), "",
  _xlfn.LET(
    _xlpm.rowIndex, MATCH(F206, INDEX(IncomeTable,,1), 0),
    _xlpm.thresholds, INDEX(IncomeTable, _xlpm.rowIndex, 2):INDEX(IncomeTable, _xlpm.rowIndex, 8),
    _xlpm.labels, {20,30,40,50,60,70,80},
    _xlpm.income, G206,
    IF(_xlpm.income &lt; INDEX(_xlpm.thresholds,1), "Below 20%",
      IF(_xlpm.income &gt; INDEX(_xlpm.thresholds,7), "Above 80%",
        INDEX(_xlpm.labels, _xlfn.XLOOKUP(_xlpm.income, _xlpm.thresholds, _xlfn.SEQUENCE(1,7), , -1))
      )
    )
  )
)</f>
        <v/>
      </c>
      <c r="I206" s="42" t="str">
        <f t="shared" si="10"/>
        <v/>
      </c>
      <c r="J206" s="61"/>
      <c r="K206" s="61"/>
      <c r="L206" s="61"/>
      <c r="M206" s="61"/>
      <c r="N206" s="47" t="str">
        <f t="shared" si="9"/>
        <v/>
      </c>
      <c r="O206" s="48" t="str">
        <f>IF(OR(C206="", B206=""), "",
  INDEX(RentTable, MATCH(B206, {0,1,2,3,4}, 0), MATCH(C206, {20,30,40,50,60,70,80}, 1))
)</f>
        <v/>
      </c>
      <c r="P206" s="60"/>
      <c r="Q206" s="48" t="str">
        <f t="shared" si="11"/>
        <v/>
      </c>
      <c r="R206" s="60"/>
      <c r="S206" s="60"/>
      <c r="T206" s="48" t="str">
        <f t="shared" si="8"/>
        <v/>
      </c>
      <c r="U206" s="42" t="str" cm="1">
        <f t="array" ref="U206">_xlfn.IFS(OR(Q206="", T206="", Q206=0, "", T206=0), "", AND(T206&lt;=Q206,D206&lt;=Q206), "Y", OR(T206&gt;Q206,D206&gt;Q206), "N")</f>
        <v/>
      </c>
      <c r="V206" s="62"/>
      <c r="W206" s="63"/>
    </row>
    <row r="207" spans="1:23" x14ac:dyDescent="0.25">
      <c r="A207" s="58"/>
      <c r="B207" s="59"/>
      <c r="C207" s="59"/>
      <c r="D207" s="60"/>
      <c r="E207" s="59"/>
      <c r="F207" s="59"/>
      <c r="G207" s="60"/>
      <c r="H207" s="43" t="str" cm="1">
        <f t="array" ref="H207">IF(OR(F207="", G207=""), "",
  _xlfn.LET(
    _xlpm.rowIndex, MATCH(F207, INDEX(IncomeTable,,1), 0),
    _xlpm.thresholds, INDEX(IncomeTable, _xlpm.rowIndex, 2):INDEX(IncomeTable, _xlpm.rowIndex, 8),
    _xlpm.labels, {20,30,40,50,60,70,80},
    _xlpm.income, G207,
    IF(_xlpm.income &lt; INDEX(_xlpm.thresholds,1), "Below 20%",
      IF(_xlpm.income &gt; INDEX(_xlpm.thresholds,7), "Above 80%",
        INDEX(_xlpm.labels, _xlfn.XLOOKUP(_xlpm.income, _xlpm.thresholds, _xlfn.SEQUENCE(1,7), , -1))
      )
    )
  )
)</f>
        <v/>
      </c>
      <c r="I207" s="42" t="str">
        <f t="shared" si="10"/>
        <v/>
      </c>
      <c r="J207" s="61"/>
      <c r="K207" s="61"/>
      <c r="L207" s="61"/>
      <c r="M207" s="61"/>
      <c r="N207" s="47" t="str">
        <f t="shared" si="9"/>
        <v/>
      </c>
      <c r="O207" s="48" t="str">
        <f>IF(OR(C207="", B207=""), "",
  INDEX(RentTable, MATCH(B207, {0,1,2,3,4}, 0), MATCH(C207, {20,30,40,50,60,70,80}, 1))
)</f>
        <v/>
      </c>
      <c r="P207" s="60"/>
      <c r="Q207" s="48" t="str">
        <f t="shared" si="11"/>
        <v/>
      </c>
      <c r="R207" s="60"/>
      <c r="S207" s="60"/>
      <c r="T207" s="48" t="str">
        <f t="shared" si="8"/>
        <v/>
      </c>
      <c r="U207" s="42" t="str" cm="1">
        <f t="array" ref="U207">_xlfn.IFS(OR(Q207="", T207="", Q207=0, "", T207=0), "", AND(T207&lt;=Q207,D207&lt;=Q207), "Y", OR(T207&gt;Q207,D207&gt;Q207), "N")</f>
        <v/>
      </c>
      <c r="V207" s="62"/>
      <c r="W207" s="63"/>
    </row>
    <row r="208" spans="1:23" x14ac:dyDescent="0.25">
      <c r="A208" s="58"/>
      <c r="B208" s="59"/>
      <c r="C208" s="59"/>
      <c r="D208" s="60"/>
      <c r="E208" s="59"/>
      <c r="F208" s="59"/>
      <c r="G208" s="60"/>
      <c r="H208" s="43" t="str" cm="1">
        <f t="array" ref="H208">IF(OR(F208="", G208=""), "",
  _xlfn.LET(
    _xlpm.rowIndex, MATCH(F208, INDEX(IncomeTable,,1), 0),
    _xlpm.thresholds, INDEX(IncomeTable, _xlpm.rowIndex, 2):INDEX(IncomeTable, _xlpm.rowIndex, 8),
    _xlpm.labels, {20,30,40,50,60,70,80},
    _xlpm.income, G208,
    IF(_xlpm.income &lt; INDEX(_xlpm.thresholds,1), "Below 20%",
      IF(_xlpm.income &gt; INDEX(_xlpm.thresholds,7), "Above 80%",
        INDEX(_xlpm.labels, _xlfn.XLOOKUP(_xlpm.income, _xlpm.thresholds, _xlfn.SEQUENCE(1,7), , -1))
      )
    )
  )
)</f>
        <v/>
      </c>
      <c r="I208" s="42" t="str">
        <f t="shared" si="10"/>
        <v/>
      </c>
      <c r="J208" s="61"/>
      <c r="K208" s="61"/>
      <c r="L208" s="61"/>
      <c r="M208" s="61"/>
      <c r="N208" s="47" t="str">
        <f t="shared" si="9"/>
        <v/>
      </c>
      <c r="O208" s="48" t="str">
        <f>IF(OR(C208="", B208=""), "",
  INDEX(RentTable, MATCH(B208, {0,1,2,3,4}, 0), MATCH(C208, {20,30,40,50,60,70,80}, 1))
)</f>
        <v/>
      </c>
      <c r="P208" s="60"/>
      <c r="Q208" s="48" t="str">
        <f t="shared" si="11"/>
        <v/>
      </c>
      <c r="R208" s="60"/>
      <c r="S208" s="60"/>
      <c r="T208" s="48" t="str">
        <f t="shared" si="8"/>
        <v/>
      </c>
      <c r="U208" s="42" t="str" cm="1">
        <f t="array" ref="U208">_xlfn.IFS(OR(Q208="", T208="", Q208=0, "", T208=0), "", AND(T208&lt;=Q208,D208&lt;=Q208), "Y", OR(T208&gt;Q208,D208&gt;Q208), "N")</f>
        <v/>
      </c>
      <c r="V208" s="62"/>
      <c r="W208" s="63"/>
    </row>
    <row r="209" spans="1:23" x14ac:dyDescent="0.25">
      <c r="A209" s="58"/>
      <c r="B209" s="59"/>
      <c r="C209" s="59"/>
      <c r="D209" s="60"/>
      <c r="E209" s="59"/>
      <c r="F209" s="59"/>
      <c r="G209" s="60"/>
      <c r="H209" s="43" t="str" cm="1">
        <f t="array" ref="H209">IF(OR(F209="", G209=""), "",
  _xlfn.LET(
    _xlpm.rowIndex, MATCH(F209, INDEX(IncomeTable,,1), 0),
    _xlpm.thresholds, INDEX(IncomeTable, _xlpm.rowIndex, 2):INDEX(IncomeTable, _xlpm.rowIndex, 8),
    _xlpm.labels, {20,30,40,50,60,70,80},
    _xlpm.income, G209,
    IF(_xlpm.income &lt; INDEX(_xlpm.thresholds,1), "Below 20%",
      IF(_xlpm.income &gt; INDEX(_xlpm.thresholds,7), "Above 80%",
        INDEX(_xlpm.labels, _xlfn.XLOOKUP(_xlpm.income, _xlpm.thresholds, _xlfn.SEQUENCE(1,7), , -1))
      )
    )
  )
)</f>
        <v/>
      </c>
      <c r="I209" s="42" t="str">
        <f t="shared" si="10"/>
        <v/>
      </c>
      <c r="J209" s="61"/>
      <c r="K209" s="61"/>
      <c r="L209" s="61"/>
      <c r="M209" s="61"/>
      <c r="N209" s="47" t="str">
        <f t="shared" si="9"/>
        <v/>
      </c>
      <c r="O209" s="48" t="str">
        <f>IF(OR(C209="", B209=""), "",
  INDEX(RentTable, MATCH(B209, {0,1,2,3,4}, 0), MATCH(C209, {20,30,40,50,60,70,80}, 1))
)</f>
        <v/>
      </c>
      <c r="P209" s="60"/>
      <c r="Q209" s="48" t="str">
        <f t="shared" si="11"/>
        <v/>
      </c>
      <c r="R209" s="60"/>
      <c r="S209" s="60"/>
      <c r="T209" s="48" t="str">
        <f t="shared" si="8"/>
        <v/>
      </c>
      <c r="U209" s="42" t="str" cm="1">
        <f t="array" ref="U209">_xlfn.IFS(OR(Q209="", T209="", Q209=0, "", T209=0), "", AND(T209&lt;=Q209,D209&lt;=Q209), "Y", OR(T209&gt;Q209,D209&gt;Q209), "N")</f>
        <v/>
      </c>
      <c r="V209" s="62"/>
      <c r="W209" s="63"/>
    </row>
    <row r="210" spans="1:23" x14ac:dyDescent="0.25">
      <c r="A210" s="58"/>
      <c r="B210" s="59"/>
      <c r="C210" s="59"/>
      <c r="D210" s="60"/>
      <c r="E210" s="59"/>
      <c r="F210" s="59"/>
      <c r="G210" s="60"/>
      <c r="H210" s="43" t="str" cm="1">
        <f t="array" ref="H210">IF(OR(F210="", G210=""), "",
  _xlfn.LET(
    _xlpm.rowIndex, MATCH(F210, INDEX(IncomeTable,,1), 0),
    _xlpm.thresholds, INDEX(IncomeTable, _xlpm.rowIndex, 2):INDEX(IncomeTable, _xlpm.rowIndex, 8),
    _xlpm.labels, {20,30,40,50,60,70,80},
    _xlpm.income, G210,
    IF(_xlpm.income &lt; INDEX(_xlpm.thresholds,1), "Below 20%",
      IF(_xlpm.income &gt; INDEX(_xlpm.thresholds,7), "Above 80%",
        INDEX(_xlpm.labels, _xlfn.XLOOKUP(_xlpm.income, _xlpm.thresholds, _xlfn.SEQUENCE(1,7), , -1))
      )
    )
  )
)</f>
        <v/>
      </c>
      <c r="I210" s="42" t="str">
        <f t="shared" si="10"/>
        <v/>
      </c>
      <c r="J210" s="61"/>
      <c r="K210" s="61"/>
      <c r="L210" s="61"/>
      <c r="M210" s="61"/>
      <c r="N210" s="47" t="str">
        <f t="shared" si="9"/>
        <v/>
      </c>
      <c r="O210" s="48" t="str">
        <f>IF(OR(C210="", B210=""), "",
  INDEX(RentTable, MATCH(B210, {0,1,2,3,4}, 0), MATCH(C210, {20,30,40,50,60,70,80}, 1))
)</f>
        <v/>
      </c>
      <c r="P210" s="60"/>
      <c r="Q210" s="48" t="str">
        <f t="shared" si="11"/>
        <v/>
      </c>
      <c r="R210" s="60"/>
      <c r="S210" s="60"/>
      <c r="T210" s="48" t="str">
        <f t="shared" si="8"/>
        <v/>
      </c>
      <c r="U210" s="42" t="str" cm="1">
        <f t="array" ref="U210">_xlfn.IFS(OR(Q210="", T210="", Q210=0, "", T210=0), "", AND(T210&lt;=Q210,D210&lt;=Q210), "Y", OR(T210&gt;Q210,D210&gt;Q210), "N")</f>
        <v/>
      </c>
      <c r="V210" s="62"/>
      <c r="W210" s="63"/>
    </row>
    <row r="211" spans="1:23" x14ac:dyDescent="0.25">
      <c r="A211" s="58"/>
      <c r="B211" s="59"/>
      <c r="C211" s="59"/>
      <c r="D211" s="60"/>
      <c r="E211" s="59"/>
      <c r="F211" s="59"/>
      <c r="G211" s="60"/>
      <c r="H211" s="43" t="str" cm="1">
        <f t="array" ref="H211">IF(OR(F211="", G211=""), "",
  _xlfn.LET(
    _xlpm.rowIndex, MATCH(F211, INDEX(IncomeTable,,1), 0),
    _xlpm.thresholds, INDEX(IncomeTable, _xlpm.rowIndex, 2):INDEX(IncomeTable, _xlpm.rowIndex, 8),
    _xlpm.labels, {20,30,40,50,60,70,80},
    _xlpm.income, G211,
    IF(_xlpm.income &lt; INDEX(_xlpm.thresholds,1), "Below 20%",
      IF(_xlpm.income &gt; INDEX(_xlpm.thresholds,7), "Above 80%",
        INDEX(_xlpm.labels, _xlfn.XLOOKUP(_xlpm.income, _xlpm.thresholds, _xlfn.SEQUENCE(1,7), , -1))
      )
    )
  )
)</f>
        <v/>
      </c>
      <c r="I211" s="42" t="str">
        <f t="shared" si="10"/>
        <v/>
      </c>
      <c r="J211" s="61"/>
      <c r="K211" s="61"/>
      <c r="L211" s="61"/>
      <c r="M211" s="61"/>
      <c r="N211" s="47" t="str">
        <f t="shared" si="9"/>
        <v/>
      </c>
      <c r="O211" s="48" t="str">
        <f>IF(OR(C211="", B211=""), "",
  INDEX(RentTable, MATCH(B211, {0,1,2,3,4}, 0), MATCH(C211, {20,30,40,50,60,70,80}, 1))
)</f>
        <v/>
      </c>
      <c r="P211" s="60"/>
      <c r="Q211" s="48" t="str">
        <f t="shared" si="11"/>
        <v/>
      </c>
      <c r="R211" s="60"/>
      <c r="S211" s="60"/>
      <c r="T211" s="48" t="str">
        <f t="shared" si="8"/>
        <v/>
      </c>
      <c r="U211" s="42" t="str" cm="1">
        <f t="array" ref="U211">_xlfn.IFS(OR(Q211="", T211="", Q211=0, "", T211=0), "", AND(T211&lt;=Q211,D211&lt;=Q211), "Y", OR(T211&gt;Q211,D211&gt;Q211), "N")</f>
        <v/>
      </c>
      <c r="V211" s="62"/>
      <c r="W211" s="63"/>
    </row>
    <row r="212" spans="1:23" x14ac:dyDescent="0.25">
      <c r="A212" s="58"/>
      <c r="B212" s="59"/>
      <c r="C212" s="59"/>
      <c r="D212" s="60"/>
      <c r="E212" s="59"/>
      <c r="F212" s="59"/>
      <c r="G212" s="60"/>
      <c r="H212" s="43" t="str" cm="1">
        <f t="array" ref="H212">IF(OR(F212="", G212=""), "",
  _xlfn.LET(
    _xlpm.rowIndex, MATCH(F212, INDEX(IncomeTable,,1), 0),
    _xlpm.thresholds, INDEX(IncomeTable, _xlpm.rowIndex, 2):INDEX(IncomeTable, _xlpm.rowIndex, 8),
    _xlpm.labels, {20,30,40,50,60,70,80},
    _xlpm.income, G212,
    IF(_xlpm.income &lt; INDEX(_xlpm.thresholds,1), "Below 20%",
      IF(_xlpm.income &gt; INDEX(_xlpm.thresholds,7), "Above 80%",
        INDEX(_xlpm.labels, _xlfn.XLOOKUP(_xlpm.income, _xlpm.thresholds, _xlfn.SEQUENCE(1,7), , -1))
      )
    )
  )
)</f>
        <v/>
      </c>
      <c r="I212" s="42" t="str">
        <f t="shared" si="10"/>
        <v/>
      </c>
      <c r="J212" s="61"/>
      <c r="K212" s="61"/>
      <c r="L212" s="61"/>
      <c r="M212" s="61"/>
      <c r="N212" s="47" t="str">
        <f t="shared" si="9"/>
        <v/>
      </c>
      <c r="O212" s="48" t="str">
        <f>IF(OR(C212="", B212=""), "",
  INDEX(RentTable, MATCH(B212, {0,1,2,3,4}, 0), MATCH(C212, {20,30,40,50,60,70,80}, 1))
)</f>
        <v/>
      </c>
      <c r="P212" s="60"/>
      <c r="Q212" s="48" t="str">
        <f t="shared" si="11"/>
        <v/>
      </c>
      <c r="R212" s="60"/>
      <c r="S212" s="60"/>
      <c r="T212" s="48" t="str">
        <f t="shared" si="8"/>
        <v/>
      </c>
      <c r="U212" s="42" t="str" cm="1">
        <f t="array" ref="U212">_xlfn.IFS(OR(Q212="", T212="", Q212=0, "", T212=0), "", AND(T212&lt;=Q212,D212&lt;=Q212), "Y", OR(T212&gt;Q212,D212&gt;Q212), "N")</f>
        <v/>
      </c>
      <c r="V212" s="62"/>
      <c r="W212" s="63"/>
    </row>
    <row r="213" spans="1:23" x14ac:dyDescent="0.25">
      <c r="A213" s="58"/>
      <c r="B213" s="59"/>
      <c r="C213" s="59"/>
      <c r="D213" s="60"/>
      <c r="E213" s="59"/>
      <c r="F213" s="59"/>
      <c r="G213" s="60"/>
      <c r="H213" s="43" t="str" cm="1">
        <f t="array" ref="H213">IF(OR(F213="", G213=""), "",
  _xlfn.LET(
    _xlpm.rowIndex, MATCH(F213, INDEX(IncomeTable,,1), 0),
    _xlpm.thresholds, INDEX(IncomeTable, _xlpm.rowIndex, 2):INDEX(IncomeTable, _xlpm.rowIndex, 8),
    _xlpm.labels, {20,30,40,50,60,70,80},
    _xlpm.income, G213,
    IF(_xlpm.income &lt; INDEX(_xlpm.thresholds,1), "Below 20%",
      IF(_xlpm.income &gt; INDEX(_xlpm.thresholds,7), "Above 80%",
        INDEX(_xlpm.labels, _xlfn.XLOOKUP(_xlpm.income, _xlpm.thresholds, _xlfn.SEQUENCE(1,7), , -1))
      )
    )
  )
)</f>
        <v/>
      </c>
      <c r="I213" s="42" t="str">
        <f t="shared" si="10"/>
        <v/>
      </c>
      <c r="J213" s="61"/>
      <c r="K213" s="61"/>
      <c r="L213" s="61"/>
      <c r="M213" s="61"/>
      <c r="N213" s="47" t="str">
        <f t="shared" si="9"/>
        <v/>
      </c>
      <c r="O213" s="48" t="str">
        <f>IF(OR(C213="", B213=""), "",
  INDEX(RentTable, MATCH(B213, {0,1,2,3,4}, 0), MATCH(C213, {20,30,40,50,60,70,80}, 1))
)</f>
        <v/>
      </c>
      <c r="P213" s="60"/>
      <c r="Q213" s="48" t="str">
        <f t="shared" si="11"/>
        <v/>
      </c>
      <c r="R213" s="60"/>
      <c r="S213" s="60"/>
      <c r="T213" s="48" t="str">
        <f t="shared" si="8"/>
        <v/>
      </c>
      <c r="U213" s="42" t="str" cm="1">
        <f t="array" ref="U213">_xlfn.IFS(OR(Q213="", T213="", Q213=0, "", T213=0), "", AND(T213&lt;=Q213,D213&lt;=Q213), "Y", OR(T213&gt;Q213,D213&gt;Q213), "N")</f>
        <v/>
      </c>
      <c r="V213" s="62"/>
      <c r="W213" s="63"/>
    </row>
    <row r="214" spans="1:23" x14ac:dyDescent="0.25">
      <c r="A214" s="58"/>
      <c r="B214" s="59"/>
      <c r="C214" s="59"/>
      <c r="D214" s="60"/>
      <c r="E214" s="59"/>
      <c r="F214" s="59"/>
      <c r="G214" s="60"/>
      <c r="H214" s="43" t="str" cm="1">
        <f t="array" ref="H214">IF(OR(F214="", G214=""), "",
  _xlfn.LET(
    _xlpm.rowIndex, MATCH(F214, INDEX(IncomeTable,,1), 0),
    _xlpm.thresholds, INDEX(IncomeTable, _xlpm.rowIndex, 2):INDEX(IncomeTable, _xlpm.rowIndex, 8),
    _xlpm.labels, {20,30,40,50,60,70,80},
    _xlpm.income, G214,
    IF(_xlpm.income &lt; INDEX(_xlpm.thresholds,1), "Below 20%",
      IF(_xlpm.income &gt; INDEX(_xlpm.thresholds,7), "Above 80%",
        INDEX(_xlpm.labels, _xlfn.XLOOKUP(_xlpm.income, _xlpm.thresholds, _xlfn.SEQUENCE(1,7), , -1))
      )
    )
  )
)</f>
        <v/>
      </c>
      <c r="I214" s="42" t="str">
        <f t="shared" si="10"/>
        <v/>
      </c>
      <c r="J214" s="61"/>
      <c r="K214" s="61"/>
      <c r="L214" s="61"/>
      <c r="M214" s="61"/>
      <c r="N214" s="47" t="str">
        <f t="shared" si="9"/>
        <v/>
      </c>
      <c r="O214" s="48" t="str">
        <f>IF(OR(C214="", B214=""), "",
  INDEX(RentTable, MATCH(B214, {0,1,2,3,4}, 0), MATCH(C214, {20,30,40,50,60,70,80}, 1))
)</f>
        <v/>
      </c>
      <c r="P214" s="60"/>
      <c r="Q214" s="48" t="str">
        <f t="shared" si="11"/>
        <v/>
      </c>
      <c r="R214" s="60"/>
      <c r="S214" s="60"/>
      <c r="T214" s="48" t="str">
        <f t="shared" si="8"/>
        <v/>
      </c>
      <c r="U214" s="42" t="str" cm="1">
        <f t="array" ref="U214">_xlfn.IFS(OR(Q214="", T214="", Q214=0, "", T214=0), "", AND(T214&lt;=Q214,D214&lt;=Q214), "Y", OR(T214&gt;Q214,D214&gt;Q214), "N")</f>
        <v/>
      </c>
      <c r="V214" s="62"/>
      <c r="W214" s="63"/>
    </row>
    <row r="215" spans="1:23" x14ac:dyDescent="0.25">
      <c r="A215" s="58"/>
      <c r="B215" s="59"/>
      <c r="C215" s="59"/>
      <c r="D215" s="60"/>
      <c r="E215" s="59"/>
      <c r="F215" s="59"/>
      <c r="G215" s="60"/>
      <c r="H215" s="43" t="str" cm="1">
        <f t="array" ref="H215">IF(OR(F215="", G215=""), "",
  _xlfn.LET(
    _xlpm.rowIndex, MATCH(F215, INDEX(IncomeTable,,1), 0),
    _xlpm.thresholds, INDEX(IncomeTable, _xlpm.rowIndex, 2):INDEX(IncomeTable, _xlpm.rowIndex, 8),
    _xlpm.labels, {20,30,40,50,60,70,80},
    _xlpm.income, G215,
    IF(_xlpm.income &lt; INDEX(_xlpm.thresholds,1), "Below 20%",
      IF(_xlpm.income &gt; INDEX(_xlpm.thresholds,7), "Above 80%",
        INDEX(_xlpm.labels, _xlfn.XLOOKUP(_xlpm.income, _xlpm.thresholds, _xlfn.SEQUENCE(1,7), , -1))
      )
    )
  )
)</f>
        <v/>
      </c>
      <c r="I215" s="42" t="str">
        <f t="shared" si="10"/>
        <v/>
      </c>
      <c r="J215" s="61"/>
      <c r="K215" s="61"/>
      <c r="L215" s="61"/>
      <c r="M215" s="61"/>
      <c r="N215" s="47" t="str">
        <f t="shared" si="9"/>
        <v/>
      </c>
      <c r="O215" s="48" t="str">
        <f>IF(OR(C215="", B215=""), "",
  INDEX(RentTable, MATCH(B215, {0,1,2,3,4}, 0), MATCH(C215, {20,30,40,50,60,70,80}, 1))
)</f>
        <v/>
      </c>
      <c r="P215" s="60"/>
      <c r="Q215" s="48" t="str">
        <f t="shared" si="11"/>
        <v/>
      </c>
      <c r="R215" s="60"/>
      <c r="S215" s="60"/>
      <c r="T215" s="48" t="str">
        <f t="shared" ref="T215:T278" si="12">IF(OR(R215=""), "", R215 + S215)</f>
        <v/>
      </c>
      <c r="U215" s="42" t="str" cm="1">
        <f t="array" ref="U215">_xlfn.IFS(OR(Q215="", T215="", Q215=0, "", T215=0), "", AND(T215&lt;=Q215,D215&lt;=Q215), "Y", OR(T215&gt;Q215,D215&gt;Q215), "N")</f>
        <v/>
      </c>
      <c r="V215" s="62"/>
      <c r="W215" s="63"/>
    </row>
    <row r="216" spans="1:23" x14ac:dyDescent="0.25">
      <c r="A216" s="58"/>
      <c r="B216" s="59"/>
      <c r="C216" s="59"/>
      <c r="D216" s="60"/>
      <c r="E216" s="59"/>
      <c r="F216" s="59"/>
      <c r="G216" s="60"/>
      <c r="H216" s="43" t="str" cm="1">
        <f t="array" ref="H216">IF(OR(F216="", G216=""), "",
  _xlfn.LET(
    _xlpm.rowIndex, MATCH(F216, INDEX(IncomeTable,,1), 0),
    _xlpm.thresholds, INDEX(IncomeTable, _xlpm.rowIndex, 2):INDEX(IncomeTable, _xlpm.rowIndex, 8),
    _xlpm.labels, {20,30,40,50,60,70,80},
    _xlpm.income, G216,
    IF(_xlpm.income &lt; INDEX(_xlpm.thresholds,1), "Below 20%",
      IF(_xlpm.income &gt; INDEX(_xlpm.thresholds,7), "Above 80%",
        INDEX(_xlpm.labels, _xlfn.XLOOKUP(_xlpm.income, _xlpm.thresholds, _xlfn.SEQUENCE(1,7), , -1))
      )
    )
  )
)</f>
        <v/>
      </c>
      <c r="I216" s="42" t="str">
        <f t="shared" si="10"/>
        <v/>
      </c>
      <c r="J216" s="61"/>
      <c r="K216" s="61"/>
      <c r="L216" s="61"/>
      <c r="M216" s="61"/>
      <c r="N216" s="47" t="str">
        <f t="shared" ref="N216:N227" si="13">IF(OR(L216="",M216="",J216=""),"",
IF(L216="Y",
IF(M216&lt;=J216,"Y","N"),
IF(M216&lt;=DATE(YEAR(J216),3,31),"Y","N")
))</f>
        <v/>
      </c>
      <c r="O216" s="48" t="str">
        <f>IF(OR(C216="", B216=""), "",
  INDEX(RentTable, MATCH(B216, {0,1,2,3,4}, 0), MATCH(C216, {20,30,40,50,60,70,80}, 1))
)</f>
        <v/>
      </c>
      <c r="P216" s="60"/>
      <c r="Q216" s="48" t="str">
        <f t="shared" si="11"/>
        <v/>
      </c>
      <c r="R216" s="60"/>
      <c r="S216" s="60"/>
      <c r="T216" s="48" t="str">
        <f t="shared" si="12"/>
        <v/>
      </c>
      <c r="U216" s="42" t="str" cm="1">
        <f t="array" ref="U216">_xlfn.IFS(OR(Q216="", T216="", Q216=0, "", T216=0), "", AND(T216&lt;=Q216,D216&lt;=Q216), "Y", OR(T216&gt;Q216,D216&gt;Q216), "N")</f>
        <v/>
      </c>
      <c r="V216" s="62"/>
      <c r="W216" s="63"/>
    </row>
    <row r="217" spans="1:23" x14ac:dyDescent="0.25">
      <c r="A217" s="58"/>
      <c r="B217" s="59"/>
      <c r="C217" s="59"/>
      <c r="D217" s="60"/>
      <c r="E217" s="59"/>
      <c r="F217" s="59"/>
      <c r="G217" s="60"/>
      <c r="H217" s="43" t="str" cm="1">
        <f t="array" ref="H217">IF(OR(F217="", G217=""), "",
  _xlfn.LET(
    _xlpm.rowIndex, MATCH(F217, INDEX(IncomeTable,,1), 0),
    _xlpm.thresholds, INDEX(IncomeTable, _xlpm.rowIndex, 2):INDEX(IncomeTable, _xlpm.rowIndex, 8),
    _xlpm.labels, {20,30,40,50,60,70,80},
    _xlpm.income, G217,
    IF(_xlpm.income &lt; INDEX(_xlpm.thresholds,1), "Below 20%",
      IF(_xlpm.income &gt; INDEX(_xlpm.thresholds,7), "Above 80%",
        INDEX(_xlpm.labels, _xlfn.XLOOKUP(_xlpm.income, _xlpm.thresholds, _xlfn.SEQUENCE(1,7), , -1))
      )
    )
  )
)</f>
        <v/>
      </c>
      <c r="I217" s="42" t="str">
        <f t="shared" si="10"/>
        <v/>
      </c>
      <c r="J217" s="61"/>
      <c r="K217" s="61"/>
      <c r="L217" s="61"/>
      <c r="M217" s="61"/>
      <c r="N217" s="47" t="str">
        <f t="shared" si="13"/>
        <v/>
      </c>
      <c r="O217" s="48" t="str">
        <f>IF(OR(C217="", B217=""), "",
  INDEX(RentTable, MATCH(B217, {0,1,2,3,4}, 0), MATCH(C217, {20,30,40,50,60,70,80}, 1))
)</f>
        <v/>
      </c>
      <c r="P217" s="60"/>
      <c r="Q217" s="48" t="str">
        <f t="shared" si="11"/>
        <v/>
      </c>
      <c r="R217" s="60"/>
      <c r="S217" s="60"/>
      <c r="T217" s="48" t="str">
        <f t="shared" si="12"/>
        <v/>
      </c>
      <c r="U217" s="42" t="str" cm="1">
        <f t="array" ref="U217">_xlfn.IFS(OR(Q217="", T217="", Q217=0, "", T217=0), "", AND(T217&lt;=Q217,D217&lt;=Q217), "Y", OR(T217&gt;Q217,D217&gt;Q217), "N")</f>
        <v/>
      </c>
      <c r="V217" s="62"/>
      <c r="W217" s="63"/>
    </row>
    <row r="218" spans="1:23" x14ac:dyDescent="0.25">
      <c r="A218" s="58"/>
      <c r="B218" s="59"/>
      <c r="C218" s="59"/>
      <c r="D218" s="60"/>
      <c r="E218" s="59"/>
      <c r="F218" s="59"/>
      <c r="G218" s="60"/>
      <c r="H218" s="43" t="str" cm="1">
        <f t="array" ref="H218">IF(OR(F218="", G218=""), "",
  _xlfn.LET(
    _xlpm.rowIndex, MATCH(F218, INDEX(IncomeTable,,1), 0),
    _xlpm.thresholds, INDEX(IncomeTable, _xlpm.rowIndex, 2):INDEX(IncomeTable, _xlpm.rowIndex, 8),
    _xlpm.labels, {20,30,40,50,60,70,80},
    _xlpm.income, G218,
    IF(_xlpm.income &lt; INDEX(_xlpm.thresholds,1), "Below 20%",
      IF(_xlpm.income &gt; INDEX(_xlpm.thresholds,7), "Above 80%",
        INDEX(_xlpm.labels, _xlfn.XLOOKUP(_xlpm.income, _xlpm.thresholds, _xlfn.SEQUENCE(1,7), , -1))
      )
    )
  )
)</f>
        <v/>
      </c>
      <c r="I218" s="42" t="str">
        <f t="shared" ref="I218:I281" si="14">IF(AND(ISNUMBER(C218), ISNUMBER(H218)), IF(C218=H218, "Y", "N"), "")</f>
        <v/>
      </c>
      <c r="J218" s="61"/>
      <c r="K218" s="61"/>
      <c r="L218" s="61"/>
      <c r="M218" s="61"/>
      <c r="N218" s="47" t="str">
        <f t="shared" si="13"/>
        <v/>
      </c>
      <c r="O218" s="48" t="str">
        <f>IF(OR(C218="", B218=""), "",
  INDEX(RentTable, MATCH(B218, {0,1,2,3,4}, 0), MATCH(C218, {20,30,40,50,60,70,80}, 1))
)</f>
        <v/>
      </c>
      <c r="P218" s="60"/>
      <c r="Q218" s="48" t="str">
        <f t="shared" ref="Q218:Q281" si="15">IF(OR(O218="", ISBLANK(O218), O218=0), "", O218 - P218)</f>
        <v/>
      </c>
      <c r="R218" s="60"/>
      <c r="S218" s="60"/>
      <c r="T218" s="48" t="str">
        <f t="shared" si="12"/>
        <v/>
      </c>
      <c r="U218" s="42" t="str" cm="1">
        <f t="array" ref="U218">_xlfn.IFS(OR(Q218="", T218="", Q218=0, "", T218=0), "", AND(T218&lt;=Q218,D218&lt;=Q218), "Y", OR(T218&gt;Q218,D218&gt;Q218), "N")</f>
        <v/>
      </c>
      <c r="V218" s="62"/>
      <c r="W218" s="63"/>
    </row>
    <row r="219" spans="1:23" x14ac:dyDescent="0.25">
      <c r="A219" s="58"/>
      <c r="B219" s="59"/>
      <c r="C219" s="59"/>
      <c r="D219" s="60"/>
      <c r="E219" s="59"/>
      <c r="F219" s="59"/>
      <c r="G219" s="60"/>
      <c r="H219" s="43" t="str" cm="1">
        <f t="array" ref="H219">IF(OR(F219="", G219=""), "",
  _xlfn.LET(
    _xlpm.rowIndex, MATCH(F219, INDEX(IncomeTable,,1), 0),
    _xlpm.thresholds, INDEX(IncomeTable, _xlpm.rowIndex, 2):INDEX(IncomeTable, _xlpm.rowIndex, 8),
    _xlpm.labels, {20,30,40,50,60,70,80},
    _xlpm.income, G219,
    IF(_xlpm.income &lt; INDEX(_xlpm.thresholds,1), "Below 20%",
      IF(_xlpm.income &gt; INDEX(_xlpm.thresholds,7), "Above 80%",
        INDEX(_xlpm.labels, _xlfn.XLOOKUP(_xlpm.income, _xlpm.thresholds, _xlfn.SEQUENCE(1,7), , -1))
      )
    )
  )
)</f>
        <v/>
      </c>
      <c r="I219" s="42" t="str">
        <f t="shared" si="14"/>
        <v/>
      </c>
      <c r="J219" s="61"/>
      <c r="K219" s="61"/>
      <c r="L219" s="61"/>
      <c r="M219" s="61"/>
      <c r="N219" s="47" t="str">
        <f t="shared" si="13"/>
        <v/>
      </c>
      <c r="O219" s="48" t="str">
        <f>IF(OR(C219="", B219=""), "",
  INDEX(RentTable, MATCH(B219, {0,1,2,3,4}, 0), MATCH(C219, {20,30,40,50,60,70,80}, 1))
)</f>
        <v/>
      </c>
      <c r="P219" s="60"/>
      <c r="Q219" s="48" t="str">
        <f t="shared" si="15"/>
        <v/>
      </c>
      <c r="R219" s="60"/>
      <c r="S219" s="60"/>
      <c r="T219" s="48" t="str">
        <f t="shared" si="12"/>
        <v/>
      </c>
      <c r="U219" s="42" t="str" cm="1">
        <f t="array" ref="U219">_xlfn.IFS(OR(Q219="", T219="", Q219=0, "", T219=0), "", AND(T219&lt;=Q219,D219&lt;=Q219), "Y", OR(T219&gt;Q219,D219&gt;Q219), "N")</f>
        <v/>
      </c>
      <c r="V219" s="62"/>
      <c r="W219" s="63"/>
    </row>
    <row r="220" spans="1:23" x14ac:dyDescent="0.25">
      <c r="A220" s="58"/>
      <c r="B220" s="59"/>
      <c r="C220" s="59"/>
      <c r="D220" s="60"/>
      <c r="E220" s="59"/>
      <c r="F220" s="59"/>
      <c r="G220" s="60"/>
      <c r="H220" s="43" t="str" cm="1">
        <f t="array" ref="H220">IF(OR(F220="", G220=""), "",
  _xlfn.LET(
    _xlpm.rowIndex, MATCH(F220, INDEX(IncomeTable,,1), 0),
    _xlpm.thresholds, INDEX(IncomeTable, _xlpm.rowIndex, 2):INDEX(IncomeTable, _xlpm.rowIndex, 8),
    _xlpm.labels, {20,30,40,50,60,70,80},
    _xlpm.income, G220,
    IF(_xlpm.income &lt; INDEX(_xlpm.thresholds,1), "Below 20%",
      IF(_xlpm.income &gt; INDEX(_xlpm.thresholds,7), "Above 80%",
        INDEX(_xlpm.labels, _xlfn.XLOOKUP(_xlpm.income, _xlpm.thresholds, _xlfn.SEQUENCE(1,7), , -1))
      )
    )
  )
)</f>
        <v/>
      </c>
      <c r="I220" s="42" t="str">
        <f t="shared" si="14"/>
        <v/>
      </c>
      <c r="J220" s="61"/>
      <c r="K220" s="61"/>
      <c r="L220" s="61"/>
      <c r="M220" s="61"/>
      <c r="N220" s="47" t="str">
        <f t="shared" si="13"/>
        <v/>
      </c>
      <c r="O220" s="48" t="str">
        <f>IF(OR(C220="", B220=""), "",
  INDEX(RentTable, MATCH(B220, {0,1,2,3,4}, 0), MATCH(C220, {20,30,40,50,60,70,80}, 1))
)</f>
        <v/>
      </c>
      <c r="P220" s="60"/>
      <c r="Q220" s="48" t="str">
        <f t="shared" si="15"/>
        <v/>
      </c>
      <c r="R220" s="60"/>
      <c r="S220" s="60"/>
      <c r="T220" s="48" t="str">
        <f t="shared" si="12"/>
        <v/>
      </c>
      <c r="U220" s="42" t="str" cm="1">
        <f t="array" ref="U220">_xlfn.IFS(OR(Q220="", T220="", Q220=0, "", T220=0), "", AND(T220&lt;=Q220,D220&lt;=Q220), "Y", OR(T220&gt;Q220,D220&gt;Q220), "N")</f>
        <v/>
      </c>
      <c r="V220" s="62"/>
      <c r="W220" s="63"/>
    </row>
    <row r="221" spans="1:23" x14ac:dyDescent="0.25">
      <c r="A221" s="58"/>
      <c r="B221" s="59"/>
      <c r="C221" s="59"/>
      <c r="D221" s="60"/>
      <c r="E221" s="59"/>
      <c r="F221" s="59"/>
      <c r="G221" s="60"/>
      <c r="H221" s="43" t="str" cm="1">
        <f t="array" ref="H221">IF(OR(F221="", G221=""), "",
  _xlfn.LET(
    _xlpm.rowIndex, MATCH(F221, INDEX(IncomeTable,,1), 0),
    _xlpm.thresholds, INDEX(IncomeTable, _xlpm.rowIndex, 2):INDEX(IncomeTable, _xlpm.rowIndex, 8),
    _xlpm.labels, {20,30,40,50,60,70,80},
    _xlpm.income, G221,
    IF(_xlpm.income &lt; INDEX(_xlpm.thresholds,1), "Below 20%",
      IF(_xlpm.income &gt; INDEX(_xlpm.thresholds,7), "Above 80%",
        INDEX(_xlpm.labels, _xlfn.XLOOKUP(_xlpm.income, _xlpm.thresholds, _xlfn.SEQUENCE(1,7), , -1))
      )
    )
  )
)</f>
        <v/>
      </c>
      <c r="I221" s="42" t="str">
        <f t="shared" si="14"/>
        <v/>
      </c>
      <c r="J221" s="61"/>
      <c r="K221" s="61"/>
      <c r="L221" s="61"/>
      <c r="M221" s="61"/>
      <c r="N221" s="47" t="str">
        <f t="shared" si="13"/>
        <v/>
      </c>
      <c r="O221" s="48" t="str">
        <f>IF(OR(C221="", B221=""), "",
  INDEX(RentTable, MATCH(B221, {0,1,2,3,4}, 0), MATCH(C221, {20,30,40,50,60,70,80}, 1))
)</f>
        <v/>
      </c>
      <c r="P221" s="60"/>
      <c r="Q221" s="48" t="str">
        <f t="shared" si="15"/>
        <v/>
      </c>
      <c r="R221" s="60"/>
      <c r="S221" s="60"/>
      <c r="T221" s="48" t="str">
        <f t="shared" si="12"/>
        <v/>
      </c>
      <c r="U221" s="42" t="str" cm="1">
        <f t="array" ref="U221">_xlfn.IFS(OR(Q221="", T221="", Q221=0, "", T221=0), "", AND(T221&lt;=Q221,D221&lt;=Q221), "Y", OR(T221&gt;Q221,D221&gt;Q221), "N")</f>
        <v/>
      </c>
      <c r="V221" s="62"/>
      <c r="W221" s="63"/>
    </row>
    <row r="222" spans="1:23" x14ac:dyDescent="0.25">
      <c r="A222" s="58"/>
      <c r="B222" s="59"/>
      <c r="C222" s="59"/>
      <c r="D222" s="60"/>
      <c r="E222" s="59"/>
      <c r="F222" s="59"/>
      <c r="G222" s="60"/>
      <c r="H222" s="43" t="str" cm="1">
        <f t="array" ref="H222">IF(OR(F222="", G222=""), "",
  _xlfn.LET(
    _xlpm.rowIndex, MATCH(F222, INDEX(IncomeTable,,1), 0),
    _xlpm.thresholds, INDEX(IncomeTable, _xlpm.rowIndex, 2):INDEX(IncomeTable, _xlpm.rowIndex, 8),
    _xlpm.labels, {20,30,40,50,60,70,80},
    _xlpm.income, G222,
    IF(_xlpm.income &lt; INDEX(_xlpm.thresholds,1), "Below 20%",
      IF(_xlpm.income &gt; INDEX(_xlpm.thresholds,7), "Above 80%",
        INDEX(_xlpm.labels, _xlfn.XLOOKUP(_xlpm.income, _xlpm.thresholds, _xlfn.SEQUENCE(1,7), , -1))
      )
    )
  )
)</f>
        <v/>
      </c>
      <c r="I222" s="42" t="str">
        <f t="shared" si="14"/>
        <v/>
      </c>
      <c r="J222" s="61"/>
      <c r="K222" s="61"/>
      <c r="L222" s="61"/>
      <c r="M222" s="61"/>
      <c r="N222" s="47" t="str">
        <f t="shared" si="13"/>
        <v/>
      </c>
      <c r="O222" s="48" t="str">
        <f>IF(OR(C222="", B222=""), "",
  INDEX(RentTable, MATCH(B222, {0,1,2,3,4}, 0), MATCH(C222, {20,30,40,50,60,70,80}, 1))
)</f>
        <v/>
      </c>
      <c r="P222" s="60"/>
      <c r="Q222" s="48" t="str">
        <f t="shared" si="15"/>
        <v/>
      </c>
      <c r="R222" s="60"/>
      <c r="S222" s="60"/>
      <c r="T222" s="48" t="str">
        <f t="shared" si="12"/>
        <v/>
      </c>
      <c r="U222" s="42" t="str" cm="1">
        <f t="array" ref="U222">_xlfn.IFS(OR(Q222="", T222="", Q222=0, "", T222=0), "", AND(T222&lt;=Q222,D222&lt;=Q222), "Y", OR(T222&gt;Q222,D222&gt;Q222), "N")</f>
        <v/>
      </c>
      <c r="V222" s="62"/>
      <c r="W222" s="63"/>
    </row>
    <row r="223" spans="1:23" x14ac:dyDescent="0.25">
      <c r="A223" s="58"/>
      <c r="B223" s="59"/>
      <c r="C223" s="59"/>
      <c r="D223" s="60"/>
      <c r="E223" s="59"/>
      <c r="F223" s="59"/>
      <c r="G223" s="60"/>
      <c r="H223" s="43" t="str" cm="1">
        <f t="array" ref="H223">IF(OR(F223="", G223=""), "",
  _xlfn.LET(
    _xlpm.rowIndex, MATCH(F223, INDEX(IncomeTable,,1), 0),
    _xlpm.thresholds, INDEX(IncomeTable, _xlpm.rowIndex, 2):INDEX(IncomeTable, _xlpm.rowIndex, 8),
    _xlpm.labels, {20,30,40,50,60,70,80},
    _xlpm.income, G223,
    IF(_xlpm.income &lt; INDEX(_xlpm.thresholds,1), "Below 20%",
      IF(_xlpm.income &gt; INDEX(_xlpm.thresholds,7), "Above 80%",
        INDEX(_xlpm.labels, _xlfn.XLOOKUP(_xlpm.income, _xlpm.thresholds, _xlfn.SEQUENCE(1,7), , -1))
      )
    )
  )
)</f>
        <v/>
      </c>
      <c r="I223" s="42" t="str">
        <f t="shared" si="14"/>
        <v/>
      </c>
      <c r="J223" s="61"/>
      <c r="K223" s="61"/>
      <c r="L223" s="61"/>
      <c r="M223" s="61"/>
      <c r="N223" s="47" t="str">
        <f t="shared" si="13"/>
        <v/>
      </c>
      <c r="O223" s="48" t="str">
        <f>IF(OR(C223="", B223=""), "",
  INDEX(RentTable, MATCH(B223, {0,1,2,3,4}, 0), MATCH(C223, {20,30,40,50,60,70,80}, 1))
)</f>
        <v/>
      </c>
      <c r="P223" s="60"/>
      <c r="Q223" s="48" t="str">
        <f t="shared" si="15"/>
        <v/>
      </c>
      <c r="R223" s="60"/>
      <c r="S223" s="60"/>
      <c r="T223" s="48" t="str">
        <f t="shared" si="12"/>
        <v/>
      </c>
      <c r="U223" s="42" t="str" cm="1">
        <f t="array" ref="U223">_xlfn.IFS(OR(Q223="", T223="", Q223=0, "", T223=0), "", AND(T223&lt;=Q223,D223&lt;=Q223), "Y", OR(T223&gt;Q223,D223&gt;Q223), "N")</f>
        <v/>
      </c>
      <c r="V223" s="62"/>
      <c r="W223" s="63"/>
    </row>
    <row r="224" spans="1:23" x14ac:dyDescent="0.25">
      <c r="A224" s="58"/>
      <c r="B224" s="59"/>
      <c r="C224" s="59"/>
      <c r="D224" s="60"/>
      <c r="E224" s="59"/>
      <c r="F224" s="59"/>
      <c r="G224" s="60"/>
      <c r="H224" s="43" t="str" cm="1">
        <f t="array" ref="H224">IF(OR(F224="", G224=""), "",
  _xlfn.LET(
    _xlpm.rowIndex, MATCH(F224, INDEX(IncomeTable,,1), 0),
    _xlpm.thresholds, INDEX(IncomeTable, _xlpm.rowIndex, 2):INDEX(IncomeTable, _xlpm.rowIndex, 8),
    _xlpm.labels, {20,30,40,50,60,70,80},
    _xlpm.income, G224,
    IF(_xlpm.income &lt; INDEX(_xlpm.thresholds,1), "Below 20%",
      IF(_xlpm.income &gt; INDEX(_xlpm.thresholds,7), "Above 80%",
        INDEX(_xlpm.labels, _xlfn.XLOOKUP(_xlpm.income, _xlpm.thresholds, _xlfn.SEQUENCE(1,7), , -1))
      )
    )
  )
)</f>
        <v/>
      </c>
      <c r="I224" s="42" t="str">
        <f t="shared" si="14"/>
        <v/>
      </c>
      <c r="J224" s="61"/>
      <c r="K224" s="61"/>
      <c r="L224" s="61"/>
      <c r="M224" s="61"/>
      <c r="N224" s="47" t="str">
        <f t="shared" si="13"/>
        <v/>
      </c>
      <c r="O224" s="48" t="str">
        <f>IF(OR(C224="", B224=""), "",
  INDEX(RentTable, MATCH(B224, {0,1,2,3,4}, 0), MATCH(C224, {20,30,40,50,60,70,80}, 1))
)</f>
        <v/>
      </c>
      <c r="P224" s="60"/>
      <c r="Q224" s="48" t="str">
        <f t="shared" si="15"/>
        <v/>
      </c>
      <c r="R224" s="60"/>
      <c r="S224" s="60"/>
      <c r="T224" s="48" t="str">
        <f t="shared" si="12"/>
        <v/>
      </c>
      <c r="U224" s="42" t="str" cm="1">
        <f t="array" ref="U224">_xlfn.IFS(OR(Q224="", T224="", Q224=0, "", T224=0), "", AND(T224&lt;=Q224,D224&lt;=Q224), "Y", OR(T224&gt;Q224,D224&gt;Q224), "N")</f>
        <v/>
      </c>
      <c r="V224" s="62"/>
      <c r="W224" s="63"/>
    </row>
    <row r="225" spans="1:23" x14ac:dyDescent="0.25">
      <c r="A225" s="58"/>
      <c r="B225" s="59"/>
      <c r="C225" s="59"/>
      <c r="D225" s="60"/>
      <c r="E225" s="59"/>
      <c r="F225" s="59"/>
      <c r="G225" s="60"/>
      <c r="H225" s="43" t="str" cm="1">
        <f t="array" ref="H225">IF(OR(F225="", G225=""), "",
  _xlfn.LET(
    _xlpm.rowIndex, MATCH(F225, INDEX(IncomeTable,,1), 0),
    _xlpm.thresholds, INDEX(IncomeTable, _xlpm.rowIndex, 2):INDEX(IncomeTable, _xlpm.rowIndex, 8),
    _xlpm.labels, {20,30,40,50,60,70,80},
    _xlpm.income, G225,
    IF(_xlpm.income &lt; INDEX(_xlpm.thresholds,1), "Below 20%",
      IF(_xlpm.income &gt; INDEX(_xlpm.thresholds,7), "Above 80%",
        INDEX(_xlpm.labels, _xlfn.XLOOKUP(_xlpm.income, _xlpm.thresholds, _xlfn.SEQUENCE(1,7), , -1))
      )
    )
  )
)</f>
        <v/>
      </c>
      <c r="I225" s="42" t="str">
        <f t="shared" si="14"/>
        <v/>
      </c>
      <c r="J225" s="61"/>
      <c r="K225" s="61"/>
      <c r="L225" s="61"/>
      <c r="M225" s="61"/>
      <c r="N225" s="47" t="str">
        <f t="shared" si="13"/>
        <v/>
      </c>
      <c r="O225" s="48" t="str">
        <f>IF(OR(C225="", B225=""), "",
  INDEX(RentTable, MATCH(B225, {0,1,2,3,4}, 0), MATCH(C225, {20,30,40,50,60,70,80}, 1))
)</f>
        <v/>
      </c>
      <c r="P225" s="60"/>
      <c r="Q225" s="48" t="str">
        <f t="shared" si="15"/>
        <v/>
      </c>
      <c r="R225" s="60"/>
      <c r="S225" s="60"/>
      <c r="T225" s="48" t="str">
        <f t="shared" si="12"/>
        <v/>
      </c>
      <c r="U225" s="42" t="str" cm="1">
        <f t="array" ref="U225">_xlfn.IFS(OR(Q225="", T225="", Q225=0, "", T225=0), "", AND(T225&lt;=Q225,D225&lt;=Q225), "Y", OR(T225&gt;Q225,D225&gt;Q225), "N")</f>
        <v/>
      </c>
      <c r="V225" s="62"/>
      <c r="W225" s="63"/>
    </row>
    <row r="226" spans="1:23" x14ac:dyDescent="0.25">
      <c r="A226" s="58"/>
      <c r="B226" s="59"/>
      <c r="C226" s="59"/>
      <c r="D226" s="60"/>
      <c r="E226" s="59"/>
      <c r="F226" s="59"/>
      <c r="G226" s="60"/>
      <c r="H226" s="43" t="str" cm="1">
        <f t="array" ref="H226">IF(OR(F226="", G226=""), "",
  _xlfn.LET(
    _xlpm.rowIndex, MATCH(F226, INDEX(IncomeTable,,1), 0),
    _xlpm.thresholds, INDEX(IncomeTable, _xlpm.rowIndex, 2):INDEX(IncomeTable, _xlpm.rowIndex, 8),
    _xlpm.labels, {20,30,40,50,60,70,80},
    _xlpm.income, G226,
    IF(_xlpm.income &lt; INDEX(_xlpm.thresholds,1), "Below 20%",
      IF(_xlpm.income &gt; INDEX(_xlpm.thresholds,7), "Above 80%",
        INDEX(_xlpm.labels, _xlfn.XLOOKUP(_xlpm.income, _xlpm.thresholds, _xlfn.SEQUENCE(1,7), , -1))
      )
    )
  )
)</f>
        <v/>
      </c>
      <c r="I226" s="42" t="str">
        <f t="shared" si="14"/>
        <v/>
      </c>
      <c r="J226" s="61"/>
      <c r="K226" s="61"/>
      <c r="L226" s="61"/>
      <c r="M226" s="61"/>
      <c r="N226" s="47" t="str">
        <f t="shared" si="13"/>
        <v/>
      </c>
      <c r="O226" s="48" t="str">
        <f>IF(OR(C226="", B226=""), "",
  INDEX(RentTable, MATCH(B226, {0,1,2,3,4}, 0), MATCH(C226, {20,30,40,50,60,70,80}, 1))
)</f>
        <v/>
      </c>
      <c r="P226" s="60"/>
      <c r="Q226" s="48" t="str">
        <f t="shared" si="15"/>
        <v/>
      </c>
      <c r="R226" s="60"/>
      <c r="S226" s="60"/>
      <c r="T226" s="48" t="str">
        <f t="shared" si="12"/>
        <v/>
      </c>
      <c r="U226" s="42" t="str" cm="1">
        <f t="array" ref="U226">_xlfn.IFS(OR(Q226="", T226="", Q226=0, "", T226=0), "", AND(T226&lt;=Q226,D226&lt;=Q226), "Y", OR(T226&gt;Q226,D226&gt;Q226), "N")</f>
        <v/>
      </c>
      <c r="V226" s="62"/>
      <c r="W226" s="63"/>
    </row>
    <row r="227" spans="1:23" x14ac:dyDescent="0.25">
      <c r="A227" s="58"/>
      <c r="B227" s="59"/>
      <c r="C227" s="59"/>
      <c r="D227" s="60"/>
      <c r="E227" s="59"/>
      <c r="F227" s="59"/>
      <c r="G227" s="60"/>
      <c r="H227" s="43" t="str" cm="1">
        <f t="array" ref="H227">IF(OR(F227="", G227=""), "",
  _xlfn.LET(
    _xlpm.rowIndex, MATCH(F227, INDEX(IncomeTable,,1), 0),
    _xlpm.thresholds, INDEX(IncomeTable, _xlpm.rowIndex, 2):INDEX(IncomeTable, _xlpm.rowIndex, 8),
    _xlpm.labels, {20,30,40,50,60,70,80},
    _xlpm.income, G227,
    IF(_xlpm.income &lt; INDEX(_xlpm.thresholds,1), "Below 20%",
      IF(_xlpm.income &gt; INDEX(_xlpm.thresholds,7), "Above 80%",
        INDEX(_xlpm.labels, _xlfn.XLOOKUP(_xlpm.income, _xlpm.thresholds, _xlfn.SEQUENCE(1,7), , -1))
      )
    )
  )
)</f>
        <v/>
      </c>
      <c r="I227" s="42" t="str">
        <f t="shared" si="14"/>
        <v/>
      </c>
      <c r="J227" s="61"/>
      <c r="K227" s="61"/>
      <c r="L227" s="61"/>
      <c r="M227" s="61"/>
      <c r="N227" s="47" t="str">
        <f t="shared" si="13"/>
        <v/>
      </c>
      <c r="O227" s="48" t="str">
        <f>IF(OR(C227="", B227=""), "",
  INDEX(RentTable, MATCH(B227, {0,1,2,3,4}, 0), MATCH(C227, {20,30,40,50,60,70,80}, 1))
)</f>
        <v/>
      </c>
      <c r="P227" s="60"/>
      <c r="Q227" s="48" t="str">
        <f t="shared" si="15"/>
        <v/>
      </c>
      <c r="R227" s="60"/>
      <c r="S227" s="60"/>
      <c r="T227" s="48" t="str">
        <f t="shared" si="12"/>
        <v/>
      </c>
      <c r="U227" s="42" t="str" cm="1">
        <f t="array" ref="U227">_xlfn.IFS(OR(Q227="", T227="", Q227=0, "", T227=0), "", AND(T227&lt;=Q227,D227&lt;=Q227), "Y", OR(T227&gt;Q227,D227&gt;Q227), "N")</f>
        <v/>
      </c>
      <c r="V227" s="62"/>
      <c r="W227" s="63"/>
    </row>
    <row r="228" spans="1:23" x14ac:dyDescent="0.25">
      <c r="A228" s="58"/>
      <c r="B228" s="59"/>
      <c r="C228" s="59"/>
      <c r="D228" s="60"/>
      <c r="E228" s="59"/>
      <c r="F228" s="59"/>
      <c r="G228" s="60"/>
      <c r="H228" s="43" t="str" cm="1">
        <f t="array" ref="H228">IF(OR(F228="", G228=""), "",
  _xlfn.LET(
    _xlpm.rowIndex, MATCH(F228, INDEX(IncomeTable,,1), 0),
    _xlpm.thresholds, INDEX(IncomeTable, _xlpm.rowIndex, 2):INDEX(IncomeTable, _xlpm.rowIndex, 8),
    _xlpm.labels, {20,30,40,50,60,70,80},
    _xlpm.income, G228,
    IF(_xlpm.income &lt; INDEX(_xlpm.thresholds,1), "Below 20%",
      IF(_xlpm.income &gt; INDEX(_xlpm.thresholds,7), "Above 80%",
        INDEX(_xlpm.labels, _xlfn.XLOOKUP(_xlpm.income, _xlpm.thresholds, _xlfn.SEQUENCE(1,7), , -1))
      )
    )
  )
)</f>
        <v/>
      </c>
      <c r="I228" s="42" t="str">
        <f t="shared" si="14"/>
        <v/>
      </c>
      <c r="J228" s="61"/>
      <c r="K228" s="61"/>
      <c r="L228" s="61"/>
      <c r="M228" s="61"/>
      <c r="N228" s="47" t="str">
        <f t="shared" ref="N228:N279" si="16">IF(OR(L228="", M228="", J228=""),"",
   IF(L228="Y",
   IF(M228&lt;J228, "Y", "N"),
   IF(M228&lt;=DATE(YEAR(J228),3,31), "Y", "N")
))</f>
        <v/>
      </c>
      <c r="O228" s="48" t="str">
        <f>IF(OR(C228="", B228=""), "",
  INDEX(RentTable, MATCH(B228, {0,1,2,3,4}, 0), MATCH(C228, {20,30,40,50,60,70,80}, 1))
)</f>
        <v/>
      </c>
      <c r="P228" s="60"/>
      <c r="Q228" s="48" t="str">
        <f t="shared" si="15"/>
        <v/>
      </c>
      <c r="R228" s="60"/>
      <c r="S228" s="60"/>
      <c r="T228" s="48" t="str">
        <f t="shared" si="12"/>
        <v/>
      </c>
      <c r="U228" s="42" t="str" cm="1">
        <f t="array" ref="U228">_xlfn.IFS(OR(Q228="", T228="", Q228=0, "", T228=0), "", AND(T228&lt;=Q228,D228&lt;=Q228), "Y", OR(T228&gt;Q228,D228&gt;Q228), "N")</f>
        <v/>
      </c>
      <c r="V228" s="62"/>
      <c r="W228" s="63"/>
    </row>
    <row r="229" spans="1:23" x14ac:dyDescent="0.25">
      <c r="A229" s="58"/>
      <c r="B229" s="59"/>
      <c r="C229" s="59"/>
      <c r="D229" s="60"/>
      <c r="E229" s="59"/>
      <c r="F229" s="59"/>
      <c r="G229" s="60"/>
      <c r="H229" s="43" t="str" cm="1">
        <f t="array" ref="H229">IF(OR(F229="", G229=""), "",
  _xlfn.LET(
    _xlpm.rowIndex, MATCH(F229, INDEX(IncomeTable,,1), 0),
    _xlpm.thresholds, INDEX(IncomeTable, _xlpm.rowIndex, 2):INDEX(IncomeTable, _xlpm.rowIndex, 8),
    _xlpm.labels, {20,30,40,50,60,70,80},
    _xlpm.income, G229,
    IF(_xlpm.income &lt; INDEX(_xlpm.thresholds,1), "Below 20%",
      IF(_xlpm.income &gt; INDEX(_xlpm.thresholds,7), "Above 80%",
        INDEX(_xlpm.labels, _xlfn.XLOOKUP(_xlpm.income, _xlpm.thresholds, _xlfn.SEQUENCE(1,7), , -1))
      )
    )
  )
)</f>
        <v/>
      </c>
      <c r="I229" s="42" t="str">
        <f t="shared" si="14"/>
        <v/>
      </c>
      <c r="J229" s="61"/>
      <c r="K229" s="61"/>
      <c r="L229" s="61"/>
      <c r="M229" s="61"/>
      <c r="N229" s="47" t="str">
        <f t="shared" si="16"/>
        <v/>
      </c>
      <c r="O229" s="48" t="str">
        <f>IF(OR(C229="", B229=""), "",
  INDEX(RentTable, MATCH(B229, {0,1,2,3,4}, 0), MATCH(C229, {20,30,40,50,60,70,80}, 1))
)</f>
        <v/>
      </c>
      <c r="P229" s="60"/>
      <c r="Q229" s="48" t="str">
        <f t="shared" si="15"/>
        <v/>
      </c>
      <c r="R229" s="60"/>
      <c r="S229" s="60"/>
      <c r="T229" s="48" t="str">
        <f t="shared" si="12"/>
        <v/>
      </c>
      <c r="U229" s="42" t="str" cm="1">
        <f t="array" ref="U229">_xlfn.IFS(OR(Q229="", T229="", Q229=0, "", T229=0), "", AND(T229&lt;=Q229,D229&lt;=Q229), "Y", OR(T229&gt;Q229,D229&gt;Q229), "N")</f>
        <v/>
      </c>
      <c r="V229" s="62"/>
      <c r="W229" s="63"/>
    </row>
    <row r="230" spans="1:23" x14ac:dyDescent="0.25">
      <c r="A230" s="58"/>
      <c r="B230" s="59"/>
      <c r="C230" s="59"/>
      <c r="D230" s="60"/>
      <c r="E230" s="59"/>
      <c r="F230" s="59"/>
      <c r="G230" s="60"/>
      <c r="H230" s="43" t="str" cm="1">
        <f t="array" ref="H230">IF(OR(F230="", G230=""), "",
  _xlfn.LET(
    _xlpm.rowIndex, MATCH(F230, INDEX(IncomeTable,,1), 0),
    _xlpm.thresholds, INDEX(IncomeTable, _xlpm.rowIndex, 2):INDEX(IncomeTable, _xlpm.rowIndex, 8),
    _xlpm.labels, {20,30,40,50,60,70,80},
    _xlpm.income, G230,
    IF(_xlpm.income &lt; INDEX(_xlpm.thresholds,1), "Below 20%",
      IF(_xlpm.income &gt; INDEX(_xlpm.thresholds,7), "Above 80%",
        INDEX(_xlpm.labels, _xlfn.XLOOKUP(_xlpm.income, _xlpm.thresholds, _xlfn.SEQUENCE(1,7), , -1))
      )
    )
  )
)</f>
        <v/>
      </c>
      <c r="I230" s="42" t="str">
        <f t="shared" si="14"/>
        <v/>
      </c>
      <c r="J230" s="61"/>
      <c r="K230" s="61"/>
      <c r="L230" s="61"/>
      <c r="M230" s="61"/>
      <c r="N230" s="47" t="str">
        <f t="shared" si="16"/>
        <v/>
      </c>
      <c r="O230" s="48" t="str">
        <f>IF(OR(C230="", B230=""), "",
  INDEX(RentTable, MATCH(B230, {0,1,2,3,4}, 0), MATCH(C230, {20,30,40,50,60,70,80}, 1))
)</f>
        <v/>
      </c>
      <c r="P230" s="60"/>
      <c r="Q230" s="48" t="str">
        <f t="shared" si="15"/>
        <v/>
      </c>
      <c r="R230" s="60"/>
      <c r="S230" s="60"/>
      <c r="T230" s="48" t="str">
        <f t="shared" si="12"/>
        <v/>
      </c>
      <c r="U230" s="42" t="str" cm="1">
        <f t="array" ref="U230">_xlfn.IFS(OR(Q230="", T230="", Q230=0, "", T230=0), "", AND(T230&lt;=Q230,D230&lt;=Q230), "Y", OR(T230&gt;Q230,D230&gt;Q230), "N")</f>
        <v/>
      </c>
      <c r="V230" s="62"/>
      <c r="W230" s="63"/>
    </row>
    <row r="231" spans="1:23" x14ac:dyDescent="0.25">
      <c r="A231" s="58"/>
      <c r="B231" s="59"/>
      <c r="C231" s="59"/>
      <c r="D231" s="60"/>
      <c r="E231" s="59"/>
      <c r="F231" s="59"/>
      <c r="G231" s="60"/>
      <c r="H231" s="43" t="str" cm="1">
        <f t="array" ref="H231">IF(OR(F231="", G231=""), "",
  _xlfn.LET(
    _xlpm.rowIndex, MATCH(F231, INDEX(IncomeTable,,1), 0),
    _xlpm.thresholds, INDEX(IncomeTable, _xlpm.rowIndex, 2):INDEX(IncomeTable, _xlpm.rowIndex, 8),
    _xlpm.labels, {20,30,40,50,60,70,80},
    _xlpm.income, G231,
    IF(_xlpm.income &lt; INDEX(_xlpm.thresholds,1), "Below 20%",
      IF(_xlpm.income &gt; INDEX(_xlpm.thresholds,7), "Above 80%",
        INDEX(_xlpm.labels, _xlfn.XLOOKUP(_xlpm.income, _xlpm.thresholds, _xlfn.SEQUENCE(1,7), , -1))
      )
    )
  )
)</f>
        <v/>
      </c>
      <c r="I231" s="42" t="str">
        <f t="shared" si="14"/>
        <v/>
      </c>
      <c r="J231" s="61"/>
      <c r="K231" s="61"/>
      <c r="L231" s="61"/>
      <c r="M231" s="61"/>
      <c r="N231" s="47" t="str">
        <f t="shared" si="16"/>
        <v/>
      </c>
      <c r="O231" s="48" t="str">
        <f>IF(OR(C231="", B231=""), "",
  INDEX(RentTable, MATCH(B231, {0,1,2,3,4}, 0), MATCH(C231, {20,30,40,50,60,70,80}, 1))
)</f>
        <v/>
      </c>
      <c r="P231" s="60"/>
      <c r="Q231" s="48" t="str">
        <f t="shared" si="15"/>
        <v/>
      </c>
      <c r="R231" s="60"/>
      <c r="S231" s="60"/>
      <c r="T231" s="48" t="str">
        <f t="shared" si="12"/>
        <v/>
      </c>
      <c r="U231" s="42" t="str" cm="1">
        <f t="array" ref="U231">_xlfn.IFS(OR(Q231="", T231="", Q231=0, "", T231=0), "", AND(T231&lt;=Q231,D231&lt;=Q231), "Y", OR(T231&gt;Q231,D231&gt;Q231), "N")</f>
        <v/>
      </c>
      <c r="V231" s="62"/>
      <c r="W231" s="63"/>
    </row>
    <row r="232" spans="1:23" x14ac:dyDescent="0.25">
      <c r="A232" s="58"/>
      <c r="B232" s="59"/>
      <c r="C232" s="59"/>
      <c r="D232" s="60"/>
      <c r="E232" s="59"/>
      <c r="F232" s="59"/>
      <c r="G232" s="60"/>
      <c r="H232" s="43" t="str" cm="1">
        <f t="array" ref="H232">IF(OR(F232="", G232=""), "",
  _xlfn.LET(
    _xlpm.rowIndex, MATCH(F232, INDEX(IncomeTable,,1), 0),
    _xlpm.thresholds, INDEX(IncomeTable, _xlpm.rowIndex, 2):INDEX(IncomeTable, _xlpm.rowIndex, 8),
    _xlpm.labels, {20,30,40,50,60,70,80},
    _xlpm.income, G232,
    IF(_xlpm.income &lt; INDEX(_xlpm.thresholds,1), "Below 20%",
      IF(_xlpm.income &gt; INDEX(_xlpm.thresholds,7), "Above 80%",
        INDEX(_xlpm.labels, _xlfn.XLOOKUP(_xlpm.income, _xlpm.thresholds, _xlfn.SEQUENCE(1,7), , -1))
      )
    )
  )
)</f>
        <v/>
      </c>
      <c r="I232" s="42" t="str">
        <f t="shared" si="14"/>
        <v/>
      </c>
      <c r="J232" s="61"/>
      <c r="K232" s="61"/>
      <c r="L232" s="61"/>
      <c r="M232" s="61"/>
      <c r="N232" s="47" t="str">
        <f t="shared" si="16"/>
        <v/>
      </c>
      <c r="O232" s="48" t="str">
        <f>IF(OR(C232="", B232=""), "",
  INDEX(RentTable, MATCH(B232, {0,1,2,3,4}, 0), MATCH(C232, {20,30,40,50,60,70,80}, 1))
)</f>
        <v/>
      </c>
      <c r="P232" s="60"/>
      <c r="Q232" s="48" t="str">
        <f t="shared" si="15"/>
        <v/>
      </c>
      <c r="R232" s="60"/>
      <c r="S232" s="60"/>
      <c r="T232" s="48" t="str">
        <f t="shared" si="12"/>
        <v/>
      </c>
      <c r="U232" s="42" t="str" cm="1">
        <f t="array" ref="U232">_xlfn.IFS(OR(Q232="", T232="", Q232=0, "", T232=0), "", AND(T232&lt;=Q232,D232&lt;=Q232), "Y", OR(T232&gt;Q232,D232&gt;Q232), "N")</f>
        <v/>
      </c>
      <c r="V232" s="62"/>
      <c r="W232" s="63"/>
    </row>
    <row r="233" spans="1:23" x14ac:dyDescent="0.25">
      <c r="A233" s="58"/>
      <c r="B233" s="59"/>
      <c r="C233" s="59"/>
      <c r="D233" s="60"/>
      <c r="E233" s="59"/>
      <c r="F233" s="59"/>
      <c r="G233" s="60"/>
      <c r="H233" s="43" t="str" cm="1">
        <f t="array" ref="H233">IF(OR(F233="", G233=""), "",
  _xlfn.LET(
    _xlpm.rowIndex, MATCH(F233, INDEX(IncomeTable,,1), 0),
    _xlpm.thresholds, INDEX(IncomeTable, _xlpm.rowIndex, 2):INDEX(IncomeTable, _xlpm.rowIndex, 8),
    _xlpm.labels, {20,30,40,50,60,70,80},
    _xlpm.income, G233,
    IF(_xlpm.income &lt; INDEX(_xlpm.thresholds,1), "Below 20%",
      IF(_xlpm.income &gt; INDEX(_xlpm.thresholds,7), "Above 80%",
        INDEX(_xlpm.labels, _xlfn.XLOOKUP(_xlpm.income, _xlpm.thresholds, _xlfn.SEQUENCE(1,7), , -1))
      )
    )
  )
)</f>
        <v/>
      </c>
      <c r="I233" s="42" t="str">
        <f t="shared" si="14"/>
        <v/>
      </c>
      <c r="J233" s="61"/>
      <c r="K233" s="61"/>
      <c r="L233" s="61"/>
      <c r="M233" s="61"/>
      <c r="N233" s="47" t="str">
        <f t="shared" si="16"/>
        <v/>
      </c>
      <c r="O233" s="48" t="str">
        <f>IF(OR(C233="", B233=""), "",
  INDEX(RentTable, MATCH(B233, {0,1,2,3,4}, 0), MATCH(C233, {20,30,40,50,60,70,80}, 1))
)</f>
        <v/>
      </c>
      <c r="P233" s="60"/>
      <c r="Q233" s="48" t="str">
        <f t="shared" si="15"/>
        <v/>
      </c>
      <c r="R233" s="60"/>
      <c r="S233" s="60"/>
      <c r="T233" s="48" t="str">
        <f t="shared" si="12"/>
        <v/>
      </c>
      <c r="U233" s="42" t="str" cm="1">
        <f t="array" ref="U233">_xlfn.IFS(OR(Q233="", T233="", Q233=0, "", T233=0), "", AND(T233&lt;=Q233,D233&lt;=Q233), "Y", OR(T233&gt;Q233,D233&gt;Q233), "N")</f>
        <v/>
      </c>
      <c r="V233" s="62"/>
      <c r="W233" s="63"/>
    </row>
    <row r="234" spans="1:23" x14ac:dyDescent="0.25">
      <c r="A234" s="58"/>
      <c r="B234" s="59"/>
      <c r="C234" s="59"/>
      <c r="D234" s="60"/>
      <c r="E234" s="59"/>
      <c r="F234" s="59"/>
      <c r="G234" s="60"/>
      <c r="H234" s="43" t="str" cm="1">
        <f t="array" ref="H234">IF(OR(F234="", G234=""), "",
  _xlfn.LET(
    _xlpm.rowIndex, MATCH(F234, INDEX(IncomeTable,,1), 0),
    _xlpm.thresholds, INDEX(IncomeTable, _xlpm.rowIndex, 2):INDEX(IncomeTable, _xlpm.rowIndex, 8),
    _xlpm.labels, {20,30,40,50,60,70,80},
    _xlpm.income, G234,
    IF(_xlpm.income &lt; INDEX(_xlpm.thresholds,1), "Below 20%",
      IF(_xlpm.income &gt; INDEX(_xlpm.thresholds,7), "Above 80%",
        INDEX(_xlpm.labels, _xlfn.XLOOKUP(_xlpm.income, _xlpm.thresholds, _xlfn.SEQUENCE(1,7), , -1))
      )
    )
  )
)</f>
        <v/>
      </c>
      <c r="I234" s="42" t="str">
        <f t="shared" si="14"/>
        <v/>
      </c>
      <c r="J234" s="61"/>
      <c r="K234" s="61"/>
      <c r="L234" s="61"/>
      <c r="M234" s="61"/>
      <c r="N234" s="47" t="str">
        <f t="shared" si="16"/>
        <v/>
      </c>
      <c r="O234" s="48" t="str">
        <f>IF(OR(C234="", B234=""), "",
  INDEX(RentTable, MATCH(B234, {0,1,2,3,4}, 0), MATCH(C234, {20,30,40,50,60,70,80}, 1))
)</f>
        <v/>
      </c>
      <c r="P234" s="60"/>
      <c r="Q234" s="48" t="str">
        <f t="shared" si="15"/>
        <v/>
      </c>
      <c r="R234" s="60"/>
      <c r="S234" s="60"/>
      <c r="T234" s="48" t="str">
        <f t="shared" si="12"/>
        <v/>
      </c>
      <c r="U234" s="42" t="str" cm="1">
        <f t="array" ref="U234">_xlfn.IFS(OR(Q234="", T234="", Q234=0, "", T234=0), "", AND(T234&lt;=Q234,D234&lt;=Q234), "Y", OR(T234&gt;Q234,D234&gt;Q234), "N")</f>
        <v/>
      </c>
      <c r="V234" s="62"/>
      <c r="W234" s="63"/>
    </row>
    <row r="235" spans="1:23" x14ac:dyDescent="0.25">
      <c r="A235" s="58"/>
      <c r="B235" s="59"/>
      <c r="C235" s="59"/>
      <c r="D235" s="60"/>
      <c r="E235" s="59"/>
      <c r="F235" s="59"/>
      <c r="G235" s="60"/>
      <c r="H235" s="43" t="str" cm="1">
        <f t="array" ref="H235">IF(OR(F235="", G235=""), "",
  _xlfn.LET(
    _xlpm.rowIndex, MATCH(F235, INDEX(IncomeTable,,1), 0),
    _xlpm.thresholds, INDEX(IncomeTable, _xlpm.rowIndex, 2):INDEX(IncomeTable, _xlpm.rowIndex, 8),
    _xlpm.labels, {20,30,40,50,60,70,80},
    _xlpm.income, G235,
    IF(_xlpm.income &lt; INDEX(_xlpm.thresholds,1), "Below 20%",
      IF(_xlpm.income &gt; INDEX(_xlpm.thresholds,7), "Above 80%",
        INDEX(_xlpm.labels, _xlfn.XLOOKUP(_xlpm.income, _xlpm.thresholds, _xlfn.SEQUENCE(1,7), , -1))
      )
    )
  )
)</f>
        <v/>
      </c>
      <c r="I235" s="42" t="str">
        <f t="shared" si="14"/>
        <v/>
      </c>
      <c r="J235" s="61"/>
      <c r="K235" s="61"/>
      <c r="L235" s="61"/>
      <c r="M235" s="61"/>
      <c r="N235" s="47" t="str">
        <f t="shared" si="16"/>
        <v/>
      </c>
      <c r="O235" s="48" t="str">
        <f>IF(OR(C235="", B235=""), "",
  INDEX(RentTable, MATCH(B235, {0,1,2,3,4}, 0), MATCH(C235, {20,30,40,50,60,70,80}, 1))
)</f>
        <v/>
      </c>
      <c r="P235" s="60"/>
      <c r="Q235" s="48" t="str">
        <f t="shared" si="15"/>
        <v/>
      </c>
      <c r="R235" s="60"/>
      <c r="S235" s="60"/>
      <c r="T235" s="48" t="str">
        <f t="shared" si="12"/>
        <v/>
      </c>
      <c r="U235" s="42" t="str" cm="1">
        <f t="array" ref="U235">_xlfn.IFS(OR(Q235="", T235="", Q235=0, "", T235=0), "", AND(T235&lt;=Q235,D235&lt;=Q235), "Y", OR(T235&gt;Q235,D235&gt;Q235), "N")</f>
        <v/>
      </c>
      <c r="V235" s="62"/>
      <c r="W235" s="63"/>
    </row>
    <row r="236" spans="1:23" x14ac:dyDescent="0.25">
      <c r="A236" s="58"/>
      <c r="B236" s="59"/>
      <c r="C236" s="59"/>
      <c r="D236" s="60"/>
      <c r="E236" s="59"/>
      <c r="F236" s="59"/>
      <c r="G236" s="60"/>
      <c r="H236" s="43" t="str" cm="1">
        <f t="array" ref="H236">IF(OR(F236="", G236=""), "",
  _xlfn.LET(
    _xlpm.rowIndex, MATCH(F236, INDEX(IncomeTable,,1), 0),
    _xlpm.thresholds, INDEX(IncomeTable, _xlpm.rowIndex, 2):INDEX(IncomeTable, _xlpm.rowIndex, 8),
    _xlpm.labels, {20,30,40,50,60,70,80},
    _xlpm.income, G236,
    IF(_xlpm.income &lt; INDEX(_xlpm.thresholds,1), "Below 20%",
      IF(_xlpm.income &gt; INDEX(_xlpm.thresholds,7), "Above 80%",
        INDEX(_xlpm.labels, _xlfn.XLOOKUP(_xlpm.income, _xlpm.thresholds, _xlfn.SEQUENCE(1,7), , -1))
      )
    )
  )
)</f>
        <v/>
      </c>
      <c r="I236" s="42" t="str">
        <f t="shared" si="14"/>
        <v/>
      </c>
      <c r="J236" s="61"/>
      <c r="K236" s="61"/>
      <c r="L236" s="61"/>
      <c r="M236" s="61"/>
      <c r="N236" s="47" t="str">
        <f t="shared" si="16"/>
        <v/>
      </c>
      <c r="O236" s="48" t="str">
        <f>IF(OR(C236="", B236=""), "",
  INDEX(RentTable, MATCH(B236, {0,1,2,3,4}, 0), MATCH(C236, {20,30,40,50,60,70,80}, 1))
)</f>
        <v/>
      </c>
      <c r="P236" s="60"/>
      <c r="Q236" s="48" t="str">
        <f t="shared" si="15"/>
        <v/>
      </c>
      <c r="R236" s="60"/>
      <c r="S236" s="60"/>
      <c r="T236" s="48" t="str">
        <f t="shared" si="12"/>
        <v/>
      </c>
      <c r="U236" s="42" t="str" cm="1">
        <f t="array" ref="U236">_xlfn.IFS(OR(Q236="", T236="", Q236=0, "", T236=0), "", AND(T236&lt;=Q236,D236&lt;=Q236), "Y", OR(T236&gt;Q236,D236&gt;Q236), "N")</f>
        <v/>
      </c>
      <c r="V236" s="62"/>
      <c r="W236" s="63"/>
    </row>
    <row r="237" spans="1:23" x14ac:dyDescent="0.25">
      <c r="A237" s="58"/>
      <c r="B237" s="59"/>
      <c r="C237" s="59"/>
      <c r="D237" s="60"/>
      <c r="E237" s="59"/>
      <c r="F237" s="59"/>
      <c r="G237" s="60"/>
      <c r="H237" s="43" t="str" cm="1">
        <f t="array" ref="H237">IF(OR(F237="", G237=""), "",
  _xlfn.LET(
    _xlpm.rowIndex, MATCH(F237, INDEX(IncomeTable,,1), 0),
    _xlpm.thresholds, INDEX(IncomeTable, _xlpm.rowIndex, 2):INDEX(IncomeTable, _xlpm.rowIndex, 8),
    _xlpm.labels, {20,30,40,50,60,70,80},
    _xlpm.income, G237,
    IF(_xlpm.income &lt; INDEX(_xlpm.thresholds,1), "Below 20%",
      IF(_xlpm.income &gt; INDEX(_xlpm.thresholds,7), "Above 80%",
        INDEX(_xlpm.labels, _xlfn.XLOOKUP(_xlpm.income, _xlpm.thresholds, _xlfn.SEQUENCE(1,7), , -1))
      )
    )
  )
)</f>
        <v/>
      </c>
      <c r="I237" s="42" t="str">
        <f t="shared" si="14"/>
        <v/>
      </c>
      <c r="J237" s="61"/>
      <c r="K237" s="61"/>
      <c r="L237" s="61"/>
      <c r="M237" s="61"/>
      <c r="N237" s="47" t="str">
        <f t="shared" si="16"/>
        <v/>
      </c>
      <c r="O237" s="48" t="str">
        <f>IF(OR(C237="", B237=""), "",
  INDEX(RentTable, MATCH(B237, {0,1,2,3,4}, 0), MATCH(C237, {20,30,40,50,60,70,80}, 1))
)</f>
        <v/>
      </c>
      <c r="P237" s="60"/>
      <c r="Q237" s="48" t="str">
        <f t="shared" si="15"/>
        <v/>
      </c>
      <c r="R237" s="60"/>
      <c r="S237" s="60"/>
      <c r="T237" s="48" t="str">
        <f t="shared" si="12"/>
        <v/>
      </c>
      <c r="U237" s="42" t="str" cm="1">
        <f t="array" ref="U237">_xlfn.IFS(OR(Q237="", T237="", Q237=0, "", T237=0), "", AND(T237&lt;=Q237,D237&lt;=Q237), "Y", OR(T237&gt;Q237,D237&gt;Q237), "N")</f>
        <v/>
      </c>
      <c r="V237" s="62"/>
      <c r="W237" s="63"/>
    </row>
    <row r="238" spans="1:23" x14ac:dyDescent="0.25">
      <c r="A238" s="58"/>
      <c r="B238" s="59"/>
      <c r="C238" s="59"/>
      <c r="D238" s="60"/>
      <c r="E238" s="59"/>
      <c r="F238" s="59"/>
      <c r="G238" s="60"/>
      <c r="H238" s="43" t="str" cm="1">
        <f t="array" ref="H238">IF(OR(F238="", G238=""), "",
  _xlfn.LET(
    _xlpm.rowIndex, MATCH(F238, INDEX(IncomeTable,,1), 0),
    _xlpm.thresholds, INDEX(IncomeTable, _xlpm.rowIndex, 2):INDEX(IncomeTable, _xlpm.rowIndex, 8),
    _xlpm.labels, {20,30,40,50,60,70,80},
    _xlpm.income, G238,
    IF(_xlpm.income &lt; INDEX(_xlpm.thresholds,1), "Below 20%",
      IF(_xlpm.income &gt; INDEX(_xlpm.thresholds,7), "Above 80%",
        INDEX(_xlpm.labels, _xlfn.XLOOKUP(_xlpm.income, _xlpm.thresholds, _xlfn.SEQUENCE(1,7), , -1))
      )
    )
  )
)</f>
        <v/>
      </c>
      <c r="I238" s="42" t="str">
        <f t="shared" si="14"/>
        <v/>
      </c>
      <c r="J238" s="61"/>
      <c r="K238" s="61"/>
      <c r="L238" s="61"/>
      <c r="M238" s="61"/>
      <c r="N238" s="47" t="str">
        <f t="shared" si="16"/>
        <v/>
      </c>
      <c r="O238" s="48" t="str">
        <f>IF(OR(C238="", B238=""), "",
  INDEX(RentTable, MATCH(B238, {0,1,2,3,4}, 0), MATCH(C238, {20,30,40,50,60,70,80}, 1))
)</f>
        <v/>
      </c>
      <c r="P238" s="60"/>
      <c r="Q238" s="48" t="str">
        <f t="shared" si="15"/>
        <v/>
      </c>
      <c r="R238" s="60"/>
      <c r="S238" s="60"/>
      <c r="T238" s="48" t="str">
        <f t="shared" si="12"/>
        <v/>
      </c>
      <c r="U238" s="42" t="str" cm="1">
        <f t="array" ref="U238">_xlfn.IFS(OR(Q238="", T238="", Q238=0, "", T238=0), "", AND(T238&lt;=Q238,D238&lt;=Q238), "Y", OR(T238&gt;Q238,D238&gt;Q238), "N")</f>
        <v/>
      </c>
      <c r="V238" s="62"/>
      <c r="W238" s="63"/>
    </row>
    <row r="239" spans="1:23" x14ac:dyDescent="0.25">
      <c r="A239" s="58"/>
      <c r="B239" s="59"/>
      <c r="C239" s="59"/>
      <c r="D239" s="60"/>
      <c r="E239" s="59"/>
      <c r="F239" s="59"/>
      <c r="G239" s="60"/>
      <c r="H239" s="43" t="str" cm="1">
        <f t="array" ref="H239">IF(OR(F239="", G239=""), "",
  _xlfn.LET(
    _xlpm.rowIndex, MATCH(F239, INDEX(IncomeTable,,1), 0),
    _xlpm.thresholds, INDEX(IncomeTable, _xlpm.rowIndex, 2):INDEX(IncomeTable, _xlpm.rowIndex, 8),
    _xlpm.labels, {20,30,40,50,60,70,80},
    _xlpm.income, G239,
    IF(_xlpm.income &lt; INDEX(_xlpm.thresholds,1), "Below 20%",
      IF(_xlpm.income &gt; INDEX(_xlpm.thresholds,7), "Above 80%",
        INDEX(_xlpm.labels, _xlfn.XLOOKUP(_xlpm.income, _xlpm.thresholds, _xlfn.SEQUENCE(1,7), , -1))
      )
    )
  )
)</f>
        <v/>
      </c>
      <c r="I239" s="42" t="str">
        <f t="shared" si="14"/>
        <v/>
      </c>
      <c r="J239" s="61"/>
      <c r="K239" s="61"/>
      <c r="L239" s="61"/>
      <c r="M239" s="61"/>
      <c r="N239" s="47" t="str">
        <f t="shared" si="16"/>
        <v/>
      </c>
      <c r="O239" s="48" t="str">
        <f>IF(OR(C239="", B239=""), "",
  INDEX(RentTable, MATCH(B239, {0,1,2,3,4}, 0), MATCH(C239, {20,30,40,50,60,70,80}, 1))
)</f>
        <v/>
      </c>
      <c r="P239" s="60"/>
      <c r="Q239" s="48" t="str">
        <f t="shared" si="15"/>
        <v/>
      </c>
      <c r="R239" s="60"/>
      <c r="S239" s="60"/>
      <c r="T239" s="48" t="str">
        <f t="shared" si="12"/>
        <v/>
      </c>
      <c r="U239" s="42" t="str" cm="1">
        <f t="array" ref="U239">_xlfn.IFS(OR(Q239="", T239="", Q239=0, "", T239=0), "", AND(T239&lt;=Q239,D239&lt;=Q239), "Y", OR(T239&gt;Q239,D239&gt;Q239), "N")</f>
        <v/>
      </c>
      <c r="V239" s="62"/>
      <c r="W239" s="63"/>
    </row>
    <row r="240" spans="1:23" x14ac:dyDescent="0.25">
      <c r="A240" s="58"/>
      <c r="B240" s="59"/>
      <c r="C240" s="59"/>
      <c r="D240" s="60"/>
      <c r="E240" s="59"/>
      <c r="F240" s="59"/>
      <c r="G240" s="60"/>
      <c r="H240" s="43" t="str" cm="1">
        <f t="array" ref="H240">IF(OR(F240="", G240=""), "",
  _xlfn.LET(
    _xlpm.rowIndex, MATCH(F240, INDEX(IncomeTable,,1), 0),
    _xlpm.thresholds, INDEX(IncomeTable, _xlpm.rowIndex, 2):INDEX(IncomeTable, _xlpm.rowIndex, 8),
    _xlpm.labels, {20,30,40,50,60,70,80},
    _xlpm.income, G240,
    IF(_xlpm.income &lt; INDEX(_xlpm.thresholds,1), "Below 20%",
      IF(_xlpm.income &gt; INDEX(_xlpm.thresholds,7), "Above 80%",
        INDEX(_xlpm.labels, _xlfn.XLOOKUP(_xlpm.income, _xlpm.thresholds, _xlfn.SEQUENCE(1,7), , -1))
      )
    )
  )
)</f>
        <v/>
      </c>
      <c r="I240" s="42" t="str">
        <f t="shared" si="14"/>
        <v/>
      </c>
      <c r="J240" s="61"/>
      <c r="K240" s="61"/>
      <c r="L240" s="61"/>
      <c r="M240" s="61"/>
      <c r="N240" s="47" t="str">
        <f t="shared" si="16"/>
        <v/>
      </c>
      <c r="O240" s="48" t="str">
        <f>IF(OR(C240="", B240=""), "",
  INDEX(RentTable, MATCH(B240, {0,1,2,3,4}, 0), MATCH(C240, {20,30,40,50,60,70,80}, 1))
)</f>
        <v/>
      </c>
      <c r="P240" s="60"/>
      <c r="Q240" s="48" t="str">
        <f t="shared" si="15"/>
        <v/>
      </c>
      <c r="R240" s="60"/>
      <c r="S240" s="60"/>
      <c r="T240" s="48" t="str">
        <f t="shared" si="12"/>
        <v/>
      </c>
      <c r="U240" s="42" t="str" cm="1">
        <f t="array" ref="U240">_xlfn.IFS(OR(Q240="", T240="", Q240=0, "", T240=0), "", AND(T240&lt;=Q240,D240&lt;=Q240), "Y", OR(T240&gt;Q240,D240&gt;Q240), "N")</f>
        <v/>
      </c>
      <c r="V240" s="62"/>
      <c r="W240" s="63"/>
    </row>
    <row r="241" spans="1:23" x14ac:dyDescent="0.25">
      <c r="A241" s="58"/>
      <c r="B241" s="59"/>
      <c r="C241" s="59"/>
      <c r="D241" s="60"/>
      <c r="E241" s="59"/>
      <c r="F241" s="59"/>
      <c r="G241" s="60"/>
      <c r="H241" s="43" t="str" cm="1">
        <f t="array" ref="H241">IF(OR(F241="", G241=""), "",
  _xlfn.LET(
    _xlpm.rowIndex, MATCH(F241, INDEX(IncomeTable,,1), 0),
    _xlpm.thresholds, INDEX(IncomeTable, _xlpm.rowIndex, 2):INDEX(IncomeTable, _xlpm.rowIndex, 8),
    _xlpm.labels, {20,30,40,50,60,70,80},
    _xlpm.income, G241,
    IF(_xlpm.income &lt; INDEX(_xlpm.thresholds,1), "Below 20%",
      IF(_xlpm.income &gt; INDEX(_xlpm.thresholds,7), "Above 80%",
        INDEX(_xlpm.labels, _xlfn.XLOOKUP(_xlpm.income, _xlpm.thresholds, _xlfn.SEQUENCE(1,7), , -1))
      )
    )
  )
)</f>
        <v/>
      </c>
      <c r="I241" s="42" t="str">
        <f t="shared" si="14"/>
        <v/>
      </c>
      <c r="J241" s="61"/>
      <c r="K241" s="61"/>
      <c r="L241" s="61"/>
      <c r="M241" s="61"/>
      <c r="N241" s="47" t="str">
        <f t="shared" si="16"/>
        <v/>
      </c>
      <c r="O241" s="48" t="str">
        <f>IF(OR(C241="", B241=""), "",
  INDEX(RentTable, MATCH(B241, {0,1,2,3,4}, 0), MATCH(C241, {20,30,40,50,60,70,80}, 1))
)</f>
        <v/>
      </c>
      <c r="P241" s="60"/>
      <c r="Q241" s="48" t="str">
        <f t="shared" si="15"/>
        <v/>
      </c>
      <c r="R241" s="60"/>
      <c r="S241" s="60"/>
      <c r="T241" s="48" t="str">
        <f t="shared" si="12"/>
        <v/>
      </c>
      <c r="U241" s="42" t="str" cm="1">
        <f t="array" ref="U241">_xlfn.IFS(OR(Q241="", T241="", Q241=0, "", T241=0), "", AND(T241&lt;=Q241,D241&lt;=Q241), "Y", OR(T241&gt;Q241,D241&gt;Q241), "N")</f>
        <v/>
      </c>
      <c r="V241" s="62"/>
      <c r="W241" s="63"/>
    </row>
    <row r="242" spans="1:23" x14ac:dyDescent="0.25">
      <c r="A242" s="58"/>
      <c r="B242" s="59"/>
      <c r="C242" s="59"/>
      <c r="D242" s="60"/>
      <c r="E242" s="59"/>
      <c r="F242" s="59"/>
      <c r="G242" s="60"/>
      <c r="H242" s="43" t="str" cm="1">
        <f t="array" ref="H242">IF(OR(F242="", G242=""), "",
  _xlfn.LET(
    _xlpm.rowIndex, MATCH(F242, INDEX(IncomeTable,,1), 0),
    _xlpm.thresholds, INDEX(IncomeTable, _xlpm.rowIndex, 2):INDEX(IncomeTable, _xlpm.rowIndex, 8),
    _xlpm.labels, {20,30,40,50,60,70,80},
    _xlpm.income, G242,
    IF(_xlpm.income &lt; INDEX(_xlpm.thresholds,1), "Below 20%",
      IF(_xlpm.income &gt; INDEX(_xlpm.thresholds,7), "Above 80%",
        INDEX(_xlpm.labels, _xlfn.XLOOKUP(_xlpm.income, _xlpm.thresholds, _xlfn.SEQUENCE(1,7), , -1))
      )
    )
  )
)</f>
        <v/>
      </c>
      <c r="I242" s="42" t="str">
        <f t="shared" si="14"/>
        <v/>
      </c>
      <c r="J242" s="61"/>
      <c r="K242" s="61"/>
      <c r="L242" s="61"/>
      <c r="M242" s="61"/>
      <c r="N242" s="47" t="str">
        <f t="shared" si="16"/>
        <v/>
      </c>
      <c r="O242" s="48" t="str">
        <f>IF(OR(C242="", B242=""), "",
  INDEX(RentTable, MATCH(B242, {0,1,2,3,4}, 0), MATCH(C242, {20,30,40,50,60,70,80}, 1))
)</f>
        <v/>
      </c>
      <c r="P242" s="60"/>
      <c r="Q242" s="48" t="str">
        <f t="shared" si="15"/>
        <v/>
      </c>
      <c r="R242" s="60"/>
      <c r="S242" s="60"/>
      <c r="T242" s="48" t="str">
        <f t="shared" si="12"/>
        <v/>
      </c>
      <c r="U242" s="42" t="str" cm="1">
        <f t="array" ref="U242">_xlfn.IFS(OR(Q242="", T242="", Q242=0, "", T242=0), "", AND(T242&lt;=Q242,D242&lt;=Q242), "Y", OR(T242&gt;Q242,D242&gt;Q242), "N")</f>
        <v/>
      </c>
      <c r="V242" s="62"/>
      <c r="W242" s="63"/>
    </row>
    <row r="243" spans="1:23" x14ac:dyDescent="0.25">
      <c r="A243" s="58"/>
      <c r="B243" s="59"/>
      <c r="C243" s="59"/>
      <c r="D243" s="60"/>
      <c r="E243" s="59"/>
      <c r="F243" s="59"/>
      <c r="G243" s="60"/>
      <c r="H243" s="43" t="str" cm="1">
        <f t="array" ref="H243">IF(OR(F243="", G243=""), "",
  _xlfn.LET(
    _xlpm.rowIndex, MATCH(F243, INDEX(IncomeTable,,1), 0),
    _xlpm.thresholds, INDEX(IncomeTable, _xlpm.rowIndex, 2):INDEX(IncomeTable, _xlpm.rowIndex, 8),
    _xlpm.labels, {20,30,40,50,60,70,80},
    _xlpm.income, G243,
    IF(_xlpm.income &lt; INDEX(_xlpm.thresholds,1), "Below 20%",
      IF(_xlpm.income &gt; INDEX(_xlpm.thresholds,7), "Above 80%",
        INDEX(_xlpm.labels, _xlfn.XLOOKUP(_xlpm.income, _xlpm.thresholds, _xlfn.SEQUENCE(1,7), , -1))
      )
    )
  )
)</f>
        <v/>
      </c>
      <c r="I243" s="42" t="str">
        <f t="shared" si="14"/>
        <v/>
      </c>
      <c r="J243" s="61"/>
      <c r="K243" s="61"/>
      <c r="L243" s="61"/>
      <c r="M243" s="61"/>
      <c r="N243" s="47" t="str">
        <f t="shared" si="16"/>
        <v/>
      </c>
      <c r="O243" s="48" t="str">
        <f>IF(OR(C243="", B243=""), "",
  INDEX(RentTable, MATCH(B243, {0,1,2,3,4}, 0), MATCH(C243, {20,30,40,50,60,70,80}, 1))
)</f>
        <v/>
      </c>
      <c r="P243" s="60"/>
      <c r="Q243" s="48" t="str">
        <f t="shared" si="15"/>
        <v/>
      </c>
      <c r="R243" s="60"/>
      <c r="S243" s="60"/>
      <c r="T243" s="48" t="str">
        <f t="shared" si="12"/>
        <v/>
      </c>
      <c r="U243" s="42" t="str" cm="1">
        <f t="array" ref="U243">_xlfn.IFS(OR(Q243="", T243="", Q243=0, "", T243=0), "", AND(T243&lt;=Q243,D243&lt;=Q243), "Y", OR(T243&gt;Q243,D243&gt;Q243), "N")</f>
        <v/>
      </c>
      <c r="V243" s="62"/>
      <c r="W243" s="63"/>
    </row>
    <row r="244" spans="1:23" x14ac:dyDescent="0.25">
      <c r="A244" s="58"/>
      <c r="B244" s="59"/>
      <c r="C244" s="59"/>
      <c r="D244" s="60"/>
      <c r="E244" s="59"/>
      <c r="F244" s="59"/>
      <c r="G244" s="60"/>
      <c r="H244" s="43" t="str" cm="1">
        <f t="array" ref="H244">IF(OR(F244="", G244=""), "",
  _xlfn.LET(
    _xlpm.rowIndex, MATCH(F244, INDEX(IncomeTable,,1), 0),
    _xlpm.thresholds, INDEX(IncomeTable, _xlpm.rowIndex, 2):INDEX(IncomeTable, _xlpm.rowIndex, 8),
    _xlpm.labels, {20,30,40,50,60,70,80},
    _xlpm.income, G244,
    IF(_xlpm.income &lt; INDEX(_xlpm.thresholds,1), "Below 20%",
      IF(_xlpm.income &gt; INDEX(_xlpm.thresholds,7), "Above 80%",
        INDEX(_xlpm.labels, _xlfn.XLOOKUP(_xlpm.income, _xlpm.thresholds, _xlfn.SEQUENCE(1,7), , -1))
      )
    )
  )
)</f>
        <v/>
      </c>
      <c r="I244" s="42" t="str">
        <f t="shared" si="14"/>
        <v/>
      </c>
      <c r="J244" s="61"/>
      <c r="K244" s="61"/>
      <c r="L244" s="61"/>
      <c r="M244" s="61"/>
      <c r="N244" s="47" t="str">
        <f t="shared" si="16"/>
        <v/>
      </c>
      <c r="O244" s="48" t="str">
        <f>IF(OR(C244="", B244=""), "",
  INDEX(RentTable, MATCH(B244, {0,1,2,3,4}, 0), MATCH(C244, {20,30,40,50,60,70,80}, 1))
)</f>
        <v/>
      </c>
      <c r="P244" s="60"/>
      <c r="Q244" s="48" t="str">
        <f t="shared" si="15"/>
        <v/>
      </c>
      <c r="R244" s="60"/>
      <c r="S244" s="60"/>
      <c r="T244" s="48" t="str">
        <f t="shared" si="12"/>
        <v/>
      </c>
      <c r="U244" s="42" t="str" cm="1">
        <f t="array" ref="U244">_xlfn.IFS(OR(Q244="", T244="", Q244=0, "", T244=0), "", AND(T244&lt;=Q244,D244&lt;=Q244), "Y", OR(T244&gt;Q244,D244&gt;Q244), "N")</f>
        <v/>
      </c>
      <c r="V244" s="62"/>
      <c r="W244" s="63"/>
    </row>
    <row r="245" spans="1:23" x14ac:dyDescent="0.25">
      <c r="A245" s="58"/>
      <c r="B245" s="59"/>
      <c r="C245" s="59"/>
      <c r="D245" s="60"/>
      <c r="E245" s="59"/>
      <c r="F245" s="59"/>
      <c r="G245" s="60"/>
      <c r="H245" s="43" t="str" cm="1">
        <f t="array" ref="H245">IF(OR(F245="", G245=""), "",
  _xlfn.LET(
    _xlpm.rowIndex, MATCH(F245, INDEX(IncomeTable,,1), 0),
    _xlpm.thresholds, INDEX(IncomeTable, _xlpm.rowIndex, 2):INDEX(IncomeTable, _xlpm.rowIndex, 8),
    _xlpm.labels, {20,30,40,50,60,70,80},
    _xlpm.income, G245,
    IF(_xlpm.income &lt; INDEX(_xlpm.thresholds,1), "Below 20%",
      IF(_xlpm.income &gt; INDEX(_xlpm.thresholds,7), "Above 80%",
        INDEX(_xlpm.labels, _xlfn.XLOOKUP(_xlpm.income, _xlpm.thresholds, _xlfn.SEQUENCE(1,7), , -1))
      )
    )
  )
)</f>
        <v/>
      </c>
      <c r="I245" s="42" t="str">
        <f t="shared" si="14"/>
        <v/>
      </c>
      <c r="J245" s="61"/>
      <c r="K245" s="61"/>
      <c r="L245" s="61"/>
      <c r="M245" s="61"/>
      <c r="N245" s="47" t="str">
        <f t="shared" si="16"/>
        <v/>
      </c>
      <c r="O245" s="48" t="str">
        <f>IF(OR(C245="", B245=""), "",
  INDEX(RentTable, MATCH(B245, {0,1,2,3,4}, 0), MATCH(C245, {20,30,40,50,60,70,80}, 1))
)</f>
        <v/>
      </c>
      <c r="P245" s="60"/>
      <c r="Q245" s="48" t="str">
        <f t="shared" si="15"/>
        <v/>
      </c>
      <c r="R245" s="60"/>
      <c r="S245" s="60"/>
      <c r="T245" s="48" t="str">
        <f t="shared" si="12"/>
        <v/>
      </c>
      <c r="U245" s="42" t="str" cm="1">
        <f t="array" ref="U245">_xlfn.IFS(OR(Q245="", T245="", Q245=0, "", T245=0), "", AND(T245&lt;=Q245,D245&lt;=Q245), "Y", OR(T245&gt;Q245,D245&gt;Q245), "N")</f>
        <v/>
      </c>
      <c r="V245" s="62"/>
      <c r="W245" s="63"/>
    </row>
    <row r="246" spans="1:23" x14ac:dyDescent="0.25">
      <c r="A246" s="58"/>
      <c r="B246" s="59"/>
      <c r="C246" s="59"/>
      <c r="D246" s="60"/>
      <c r="E246" s="59"/>
      <c r="F246" s="59"/>
      <c r="G246" s="60"/>
      <c r="H246" s="43" t="str" cm="1">
        <f t="array" ref="H246">IF(OR(F246="", G246=""), "",
  _xlfn.LET(
    _xlpm.rowIndex, MATCH(F246, INDEX(IncomeTable,,1), 0),
    _xlpm.thresholds, INDEX(IncomeTable, _xlpm.rowIndex, 2):INDEX(IncomeTable, _xlpm.rowIndex, 8),
    _xlpm.labels, {20,30,40,50,60,70,80},
    _xlpm.income, G246,
    IF(_xlpm.income &lt; INDEX(_xlpm.thresholds,1), "Below 20%",
      IF(_xlpm.income &gt; INDEX(_xlpm.thresholds,7), "Above 80%",
        INDEX(_xlpm.labels, _xlfn.XLOOKUP(_xlpm.income, _xlpm.thresholds, _xlfn.SEQUENCE(1,7), , -1))
      )
    )
  )
)</f>
        <v/>
      </c>
      <c r="I246" s="42" t="str">
        <f t="shared" si="14"/>
        <v/>
      </c>
      <c r="J246" s="61"/>
      <c r="K246" s="61"/>
      <c r="L246" s="61"/>
      <c r="M246" s="61"/>
      <c r="N246" s="47" t="str">
        <f t="shared" si="16"/>
        <v/>
      </c>
      <c r="O246" s="48" t="str">
        <f>IF(OR(C246="", B246=""), "",
  INDEX(RentTable, MATCH(B246, {0,1,2,3,4}, 0), MATCH(C246, {20,30,40,50,60,70,80}, 1))
)</f>
        <v/>
      </c>
      <c r="P246" s="60"/>
      <c r="Q246" s="48" t="str">
        <f t="shared" si="15"/>
        <v/>
      </c>
      <c r="R246" s="60"/>
      <c r="S246" s="60"/>
      <c r="T246" s="48" t="str">
        <f t="shared" si="12"/>
        <v/>
      </c>
      <c r="U246" s="42" t="str" cm="1">
        <f t="array" ref="U246">_xlfn.IFS(OR(Q246="", T246="", Q246=0, "", T246=0), "", AND(T246&lt;=Q246,D246&lt;=Q246), "Y", OR(T246&gt;Q246,D246&gt;Q246), "N")</f>
        <v/>
      </c>
      <c r="V246" s="62"/>
      <c r="W246" s="63"/>
    </row>
    <row r="247" spans="1:23" x14ac:dyDescent="0.25">
      <c r="A247" s="58"/>
      <c r="B247" s="59"/>
      <c r="C247" s="59"/>
      <c r="D247" s="60"/>
      <c r="E247" s="59"/>
      <c r="F247" s="59"/>
      <c r="G247" s="60"/>
      <c r="H247" s="43" t="str" cm="1">
        <f t="array" ref="H247">IF(OR(F247="", G247=""), "",
  _xlfn.LET(
    _xlpm.rowIndex, MATCH(F247, INDEX(IncomeTable,,1), 0),
    _xlpm.thresholds, INDEX(IncomeTable, _xlpm.rowIndex, 2):INDEX(IncomeTable, _xlpm.rowIndex, 8),
    _xlpm.labels, {20,30,40,50,60,70,80},
    _xlpm.income, G247,
    IF(_xlpm.income &lt; INDEX(_xlpm.thresholds,1), "Below 20%",
      IF(_xlpm.income &gt; INDEX(_xlpm.thresholds,7), "Above 80%",
        INDEX(_xlpm.labels, _xlfn.XLOOKUP(_xlpm.income, _xlpm.thresholds, _xlfn.SEQUENCE(1,7), , -1))
      )
    )
  )
)</f>
        <v/>
      </c>
      <c r="I247" s="42" t="str">
        <f t="shared" si="14"/>
        <v/>
      </c>
      <c r="J247" s="61"/>
      <c r="K247" s="61"/>
      <c r="L247" s="61"/>
      <c r="M247" s="61"/>
      <c r="N247" s="47" t="str">
        <f t="shared" si="16"/>
        <v/>
      </c>
      <c r="O247" s="48" t="str">
        <f>IF(OR(C247="", B247=""), "",
  INDEX(RentTable, MATCH(B247, {0,1,2,3,4}, 0), MATCH(C247, {20,30,40,50,60,70,80}, 1))
)</f>
        <v/>
      </c>
      <c r="P247" s="60"/>
      <c r="Q247" s="48" t="str">
        <f t="shared" si="15"/>
        <v/>
      </c>
      <c r="R247" s="60"/>
      <c r="S247" s="60"/>
      <c r="T247" s="48" t="str">
        <f t="shared" si="12"/>
        <v/>
      </c>
      <c r="U247" s="42" t="str" cm="1">
        <f t="array" ref="U247">_xlfn.IFS(OR(Q247="", T247="", Q247=0, "", T247=0), "", AND(T247&lt;=Q247,D247&lt;=Q247), "Y", OR(T247&gt;Q247,D247&gt;Q247), "N")</f>
        <v/>
      </c>
      <c r="V247" s="62"/>
      <c r="W247" s="63"/>
    </row>
    <row r="248" spans="1:23" x14ac:dyDescent="0.25">
      <c r="A248" s="58"/>
      <c r="B248" s="59"/>
      <c r="C248" s="59"/>
      <c r="D248" s="60"/>
      <c r="E248" s="59"/>
      <c r="F248" s="59"/>
      <c r="G248" s="60"/>
      <c r="H248" s="43" t="str" cm="1">
        <f t="array" ref="H248">IF(OR(F248="", G248=""), "",
  _xlfn.LET(
    _xlpm.rowIndex, MATCH(F248, INDEX(IncomeTable,,1), 0),
    _xlpm.thresholds, INDEX(IncomeTable, _xlpm.rowIndex, 2):INDEX(IncomeTable, _xlpm.rowIndex, 8),
    _xlpm.labels, {20,30,40,50,60,70,80},
    _xlpm.income, G248,
    IF(_xlpm.income &lt; INDEX(_xlpm.thresholds,1), "Below 20%",
      IF(_xlpm.income &gt; INDEX(_xlpm.thresholds,7), "Above 80%",
        INDEX(_xlpm.labels, _xlfn.XLOOKUP(_xlpm.income, _xlpm.thresholds, _xlfn.SEQUENCE(1,7), , -1))
      )
    )
  )
)</f>
        <v/>
      </c>
      <c r="I248" s="42" t="str">
        <f t="shared" si="14"/>
        <v/>
      </c>
      <c r="J248" s="61"/>
      <c r="K248" s="61"/>
      <c r="L248" s="61"/>
      <c r="M248" s="61"/>
      <c r="N248" s="47" t="str">
        <f t="shared" si="16"/>
        <v/>
      </c>
      <c r="O248" s="48" t="str">
        <f>IF(OR(C248="", B248=""), "",
  INDEX(RentTable, MATCH(B248, {0,1,2,3,4}, 0), MATCH(C248, {20,30,40,50,60,70,80}, 1))
)</f>
        <v/>
      </c>
      <c r="P248" s="60"/>
      <c r="Q248" s="48" t="str">
        <f t="shared" si="15"/>
        <v/>
      </c>
      <c r="R248" s="60"/>
      <c r="S248" s="60"/>
      <c r="T248" s="48" t="str">
        <f t="shared" si="12"/>
        <v/>
      </c>
      <c r="U248" s="42" t="str" cm="1">
        <f t="array" ref="U248">_xlfn.IFS(OR(Q248="", T248="", Q248=0, "", T248=0), "", AND(T248&lt;=Q248,D248&lt;=Q248), "Y", OR(T248&gt;Q248,D248&gt;Q248), "N")</f>
        <v/>
      </c>
      <c r="V248" s="62"/>
      <c r="W248" s="63"/>
    </row>
    <row r="249" spans="1:23" x14ac:dyDescent="0.25">
      <c r="A249" s="58"/>
      <c r="B249" s="59"/>
      <c r="C249" s="59"/>
      <c r="D249" s="60"/>
      <c r="E249" s="59"/>
      <c r="F249" s="59"/>
      <c r="G249" s="60"/>
      <c r="H249" s="43" t="str" cm="1">
        <f t="array" ref="H249">IF(OR(F249="", G249=""), "",
  _xlfn.LET(
    _xlpm.rowIndex, MATCH(F249, INDEX(IncomeTable,,1), 0),
    _xlpm.thresholds, INDEX(IncomeTable, _xlpm.rowIndex, 2):INDEX(IncomeTable, _xlpm.rowIndex, 8),
    _xlpm.labels, {20,30,40,50,60,70,80},
    _xlpm.income, G249,
    IF(_xlpm.income &lt; INDEX(_xlpm.thresholds,1), "Below 20%",
      IF(_xlpm.income &gt; INDEX(_xlpm.thresholds,7), "Above 80%",
        INDEX(_xlpm.labels, _xlfn.XLOOKUP(_xlpm.income, _xlpm.thresholds, _xlfn.SEQUENCE(1,7), , -1))
      )
    )
  )
)</f>
        <v/>
      </c>
      <c r="I249" s="42" t="str">
        <f t="shared" si="14"/>
        <v/>
      </c>
      <c r="J249" s="61"/>
      <c r="K249" s="61"/>
      <c r="L249" s="61"/>
      <c r="M249" s="61"/>
      <c r="N249" s="47" t="str">
        <f t="shared" si="16"/>
        <v/>
      </c>
      <c r="O249" s="48" t="str">
        <f>IF(OR(C249="", B249=""), "",
  INDEX(RentTable, MATCH(B249, {0,1,2,3,4}, 0), MATCH(C249, {20,30,40,50,60,70,80}, 1))
)</f>
        <v/>
      </c>
      <c r="P249" s="60"/>
      <c r="Q249" s="48" t="str">
        <f t="shared" si="15"/>
        <v/>
      </c>
      <c r="R249" s="60"/>
      <c r="S249" s="60"/>
      <c r="T249" s="48" t="str">
        <f t="shared" si="12"/>
        <v/>
      </c>
      <c r="U249" s="42" t="str" cm="1">
        <f t="array" ref="U249">_xlfn.IFS(OR(Q249="", T249="", Q249=0, "", T249=0), "", AND(T249&lt;=Q249,D249&lt;=Q249), "Y", OR(T249&gt;Q249,D249&gt;Q249), "N")</f>
        <v/>
      </c>
      <c r="V249" s="62"/>
      <c r="W249" s="63"/>
    </row>
    <row r="250" spans="1:23" x14ac:dyDescent="0.25">
      <c r="A250" s="58"/>
      <c r="B250" s="59"/>
      <c r="C250" s="59"/>
      <c r="D250" s="60"/>
      <c r="E250" s="59"/>
      <c r="F250" s="59"/>
      <c r="G250" s="60"/>
      <c r="H250" s="43" t="str" cm="1">
        <f t="array" ref="H250">IF(OR(F250="", G250=""), "",
  _xlfn.LET(
    _xlpm.rowIndex, MATCH(F250, INDEX(IncomeTable,,1), 0),
    _xlpm.thresholds, INDEX(IncomeTable, _xlpm.rowIndex, 2):INDEX(IncomeTable, _xlpm.rowIndex, 8),
    _xlpm.labels, {20,30,40,50,60,70,80},
    _xlpm.income, G250,
    IF(_xlpm.income &lt; INDEX(_xlpm.thresholds,1), "Below 20%",
      IF(_xlpm.income &gt; INDEX(_xlpm.thresholds,7), "Above 80%",
        INDEX(_xlpm.labels, _xlfn.XLOOKUP(_xlpm.income, _xlpm.thresholds, _xlfn.SEQUENCE(1,7), , -1))
      )
    )
  )
)</f>
        <v/>
      </c>
      <c r="I250" s="42" t="str">
        <f t="shared" si="14"/>
        <v/>
      </c>
      <c r="J250" s="61"/>
      <c r="K250" s="61"/>
      <c r="L250" s="61"/>
      <c r="M250" s="61"/>
      <c r="N250" s="47" t="str">
        <f t="shared" si="16"/>
        <v/>
      </c>
      <c r="O250" s="48" t="str">
        <f>IF(OR(C250="", B250=""), "",
  INDEX(RentTable, MATCH(B250, {0,1,2,3,4}, 0), MATCH(C250, {20,30,40,50,60,70,80}, 1))
)</f>
        <v/>
      </c>
      <c r="P250" s="60"/>
      <c r="Q250" s="48" t="str">
        <f t="shared" si="15"/>
        <v/>
      </c>
      <c r="R250" s="60"/>
      <c r="S250" s="60"/>
      <c r="T250" s="48" t="str">
        <f t="shared" si="12"/>
        <v/>
      </c>
      <c r="U250" s="42" t="str" cm="1">
        <f t="array" ref="U250">_xlfn.IFS(OR(Q250="", T250="", Q250=0, "", T250=0), "", AND(T250&lt;=Q250,D250&lt;=Q250), "Y", OR(T250&gt;Q250,D250&gt;Q250), "N")</f>
        <v/>
      </c>
      <c r="V250" s="62"/>
      <c r="W250" s="63"/>
    </row>
    <row r="251" spans="1:23" x14ac:dyDescent="0.25">
      <c r="A251" s="58"/>
      <c r="B251" s="59"/>
      <c r="C251" s="59"/>
      <c r="D251" s="60"/>
      <c r="E251" s="59"/>
      <c r="F251" s="59"/>
      <c r="G251" s="60"/>
      <c r="H251" s="43" t="str" cm="1">
        <f t="array" ref="H251">IF(OR(F251="", G251=""), "",
  _xlfn.LET(
    _xlpm.rowIndex, MATCH(F251, INDEX(IncomeTable,,1), 0),
    _xlpm.thresholds, INDEX(IncomeTable, _xlpm.rowIndex, 2):INDEX(IncomeTable, _xlpm.rowIndex, 8),
    _xlpm.labels, {20,30,40,50,60,70,80},
    _xlpm.income, G251,
    IF(_xlpm.income &lt; INDEX(_xlpm.thresholds,1), "Below 20%",
      IF(_xlpm.income &gt; INDEX(_xlpm.thresholds,7), "Above 80%",
        INDEX(_xlpm.labels, _xlfn.XLOOKUP(_xlpm.income, _xlpm.thresholds, _xlfn.SEQUENCE(1,7), , -1))
      )
    )
  )
)</f>
        <v/>
      </c>
      <c r="I251" s="42" t="str">
        <f t="shared" si="14"/>
        <v/>
      </c>
      <c r="J251" s="61"/>
      <c r="K251" s="61"/>
      <c r="L251" s="61"/>
      <c r="M251" s="61"/>
      <c r="N251" s="47" t="str">
        <f t="shared" si="16"/>
        <v/>
      </c>
      <c r="O251" s="48" t="str">
        <f>IF(OR(C251="", B251=""), "",
  INDEX(RentTable, MATCH(B251, {0,1,2,3,4}, 0), MATCH(C251, {20,30,40,50,60,70,80}, 1))
)</f>
        <v/>
      </c>
      <c r="P251" s="60"/>
      <c r="Q251" s="48" t="str">
        <f t="shared" si="15"/>
        <v/>
      </c>
      <c r="R251" s="60"/>
      <c r="S251" s="60"/>
      <c r="T251" s="48" t="str">
        <f t="shared" si="12"/>
        <v/>
      </c>
      <c r="U251" s="42" t="str" cm="1">
        <f t="array" ref="U251">_xlfn.IFS(OR(Q251="", T251="", Q251=0, "", T251=0), "", AND(T251&lt;=Q251,D251&lt;=Q251), "Y", OR(T251&gt;Q251,D251&gt;Q251), "N")</f>
        <v/>
      </c>
      <c r="V251" s="62"/>
      <c r="W251" s="63"/>
    </row>
    <row r="252" spans="1:23" x14ac:dyDescent="0.25">
      <c r="A252" s="58"/>
      <c r="B252" s="59"/>
      <c r="C252" s="59"/>
      <c r="D252" s="60"/>
      <c r="E252" s="59"/>
      <c r="F252" s="59"/>
      <c r="G252" s="60"/>
      <c r="H252" s="43" t="str" cm="1">
        <f t="array" ref="H252">IF(OR(F252="", G252=""), "",
  _xlfn.LET(
    _xlpm.rowIndex, MATCH(F252, INDEX(IncomeTable,,1), 0),
    _xlpm.thresholds, INDEX(IncomeTable, _xlpm.rowIndex, 2):INDEX(IncomeTable, _xlpm.rowIndex, 8),
    _xlpm.labels, {20,30,40,50,60,70,80},
    _xlpm.income, G252,
    IF(_xlpm.income &lt; INDEX(_xlpm.thresholds,1), "Below 20%",
      IF(_xlpm.income &gt; INDEX(_xlpm.thresholds,7), "Above 80%",
        INDEX(_xlpm.labels, _xlfn.XLOOKUP(_xlpm.income, _xlpm.thresholds, _xlfn.SEQUENCE(1,7), , -1))
      )
    )
  )
)</f>
        <v/>
      </c>
      <c r="I252" s="42" t="str">
        <f t="shared" si="14"/>
        <v/>
      </c>
      <c r="J252" s="61"/>
      <c r="K252" s="61"/>
      <c r="L252" s="61"/>
      <c r="M252" s="61"/>
      <c r="N252" s="47" t="str">
        <f t="shared" si="16"/>
        <v/>
      </c>
      <c r="O252" s="48" t="str">
        <f>IF(OR(C252="", B252=""), "",
  INDEX(RentTable, MATCH(B252, {0,1,2,3,4}, 0), MATCH(C252, {20,30,40,50,60,70,80}, 1))
)</f>
        <v/>
      </c>
      <c r="P252" s="60"/>
      <c r="Q252" s="48" t="str">
        <f t="shared" si="15"/>
        <v/>
      </c>
      <c r="R252" s="60"/>
      <c r="S252" s="60"/>
      <c r="T252" s="48" t="str">
        <f t="shared" si="12"/>
        <v/>
      </c>
      <c r="U252" s="42" t="str" cm="1">
        <f t="array" ref="U252">_xlfn.IFS(OR(Q252="", T252="", Q252=0, "", T252=0), "", AND(T252&lt;=Q252,D252&lt;=Q252), "Y", OR(T252&gt;Q252,D252&gt;Q252), "N")</f>
        <v/>
      </c>
      <c r="V252" s="62"/>
      <c r="W252" s="63"/>
    </row>
    <row r="253" spans="1:23" x14ac:dyDescent="0.25">
      <c r="A253" s="58"/>
      <c r="B253" s="59"/>
      <c r="C253" s="59"/>
      <c r="D253" s="60"/>
      <c r="E253" s="59"/>
      <c r="F253" s="59"/>
      <c r="G253" s="60"/>
      <c r="H253" s="43" t="str" cm="1">
        <f t="array" ref="H253">IF(OR(F253="", G253=""), "",
  _xlfn.LET(
    _xlpm.rowIndex, MATCH(F253, INDEX(IncomeTable,,1), 0),
    _xlpm.thresholds, INDEX(IncomeTable, _xlpm.rowIndex, 2):INDEX(IncomeTable, _xlpm.rowIndex, 8),
    _xlpm.labels, {20,30,40,50,60,70,80},
    _xlpm.income, G253,
    IF(_xlpm.income &lt; INDEX(_xlpm.thresholds,1), "Below 20%",
      IF(_xlpm.income &gt; INDEX(_xlpm.thresholds,7), "Above 80%",
        INDEX(_xlpm.labels, _xlfn.XLOOKUP(_xlpm.income, _xlpm.thresholds, _xlfn.SEQUENCE(1,7), , -1))
      )
    )
  )
)</f>
        <v/>
      </c>
      <c r="I253" s="42" t="str">
        <f t="shared" si="14"/>
        <v/>
      </c>
      <c r="J253" s="61"/>
      <c r="K253" s="61"/>
      <c r="L253" s="61"/>
      <c r="M253" s="61"/>
      <c r="N253" s="47" t="str">
        <f t="shared" si="16"/>
        <v/>
      </c>
      <c r="O253" s="48" t="str">
        <f>IF(OR(C253="", B253=""), "",
  INDEX(RentTable, MATCH(B253, {0,1,2,3,4}, 0), MATCH(C253, {20,30,40,50,60,70,80}, 1))
)</f>
        <v/>
      </c>
      <c r="P253" s="60"/>
      <c r="Q253" s="48" t="str">
        <f t="shared" si="15"/>
        <v/>
      </c>
      <c r="R253" s="60"/>
      <c r="S253" s="60"/>
      <c r="T253" s="48" t="str">
        <f t="shared" si="12"/>
        <v/>
      </c>
      <c r="U253" s="42" t="str" cm="1">
        <f t="array" ref="U253">_xlfn.IFS(OR(Q253="", T253="", Q253=0, "", T253=0), "", AND(T253&lt;=Q253,D253&lt;=Q253), "Y", OR(T253&gt;Q253,D253&gt;Q253), "N")</f>
        <v/>
      </c>
      <c r="V253" s="62"/>
      <c r="W253" s="63"/>
    </row>
    <row r="254" spans="1:23" x14ac:dyDescent="0.25">
      <c r="A254" s="58"/>
      <c r="B254" s="59"/>
      <c r="C254" s="59"/>
      <c r="D254" s="60"/>
      <c r="E254" s="59"/>
      <c r="F254" s="59"/>
      <c r="G254" s="60"/>
      <c r="H254" s="43" t="str" cm="1">
        <f t="array" ref="H254">IF(OR(F254="", G254=""), "",
  _xlfn.LET(
    _xlpm.rowIndex, MATCH(F254, INDEX(IncomeTable,,1), 0),
    _xlpm.thresholds, INDEX(IncomeTable, _xlpm.rowIndex, 2):INDEX(IncomeTable, _xlpm.rowIndex, 8),
    _xlpm.labels, {20,30,40,50,60,70,80},
    _xlpm.income, G254,
    IF(_xlpm.income &lt; INDEX(_xlpm.thresholds,1), "Below 20%",
      IF(_xlpm.income &gt; INDEX(_xlpm.thresholds,7), "Above 80%",
        INDEX(_xlpm.labels, _xlfn.XLOOKUP(_xlpm.income, _xlpm.thresholds, _xlfn.SEQUENCE(1,7), , -1))
      )
    )
  )
)</f>
        <v/>
      </c>
      <c r="I254" s="42" t="str">
        <f t="shared" si="14"/>
        <v/>
      </c>
      <c r="J254" s="61"/>
      <c r="K254" s="61"/>
      <c r="L254" s="61"/>
      <c r="M254" s="61"/>
      <c r="N254" s="47" t="str">
        <f t="shared" si="16"/>
        <v/>
      </c>
      <c r="O254" s="48" t="str">
        <f>IF(OR(C254="", B254=""), "",
  INDEX(RentTable, MATCH(B254, {0,1,2,3,4}, 0), MATCH(C254, {20,30,40,50,60,70,80}, 1))
)</f>
        <v/>
      </c>
      <c r="P254" s="60"/>
      <c r="Q254" s="48" t="str">
        <f t="shared" si="15"/>
        <v/>
      </c>
      <c r="R254" s="60"/>
      <c r="S254" s="60"/>
      <c r="T254" s="48" t="str">
        <f t="shared" si="12"/>
        <v/>
      </c>
      <c r="U254" s="42" t="str" cm="1">
        <f t="array" ref="U254">_xlfn.IFS(OR(Q254="", T254="", Q254=0, "", T254=0), "", AND(T254&lt;=Q254,D254&lt;=Q254), "Y", OR(T254&gt;Q254,D254&gt;Q254), "N")</f>
        <v/>
      </c>
      <c r="V254" s="62"/>
      <c r="W254" s="63"/>
    </row>
    <row r="255" spans="1:23" x14ac:dyDescent="0.25">
      <c r="A255" s="58"/>
      <c r="B255" s="59"/>
      <c r="C255" s="59"/>
      <c r="D255" s="60"/>
      <c r="E255" s="59"/>
      <c r="F255" s="59"/>
      <c r="G255" s="60"/>
      <c r="H255" s="43" t="str" cm="1">
        <f t="array" ref="H255">IF(OR(F255="", G255=""), "",
  _xlfn.LET(
    _xlpm.rowIndex, MATCH(F255, INDEX(IncomeTable,,1), 0),
    _xlpm.thresholds, INDEX(IncomeTable, _xlpm.rowIndex, 2):INDEX(IncomeTable, _xlpm.rowIndex, 8),
    _xlpm.labels, {20,30,40,50,60,70,80},
    _xlpm.income, G255,
    IF(_xlpm.income &lt; INDEX(_xlpm.thresholds,1), "Below 20%",
      IF(_xlpm.income &gt; INDEX(_xlpm.thresholds,7), "Above 80%",
        INDEX(_xlpm.labels, _xlfn.XLOOKUP(_xlpm.income, _xlpm.thresholds, _xlfn.SEQUENCE(1,7), , -1))
      )
    )
  )
)</f>
        <v/>
      </c>
      <c r="I255" s="42" t="str">
        <f t="shared" si="14"/>
        <v/>
      </c>
      <c r="J255" s="61"/>
      <c r="K255" s="61"/>
      <c r="L255" s="61"/>
      <c r="M255" s="61"/>
      <c r="N255" s="47" t="str">
        <f t="shared" si="16"/>
        <v/>
      </c>
      <c r="O255" s="48" t="str">
        <f>IF(OR(C255="", B255=""), "",
  INDEX(RentTable, MATCH(B255, {0,1,2,3,4}, 0), MATCH(C255, {20,30,40,50,60,70,80}, 1))
)</f>
        <v/>
      </c>
      <c r="P255" s="60"/>
      <c r="Q255" s="48" t="str">
        <f t="shared" si="15"/>
        <v/>
      </c>
      <c r="R255" s="60"/>
      <c r="S255" s="60"/>
      <c r="T255" s="48" t="str">
        <f t="shared" si="12"/>
        <v/>
      </c>
      <c r="U255" s="42" t="str" cm="1">
        <f t="array" ref="U255">_xlfn.IFS(OR(Q255="", T255="", Q255=0, "", T255=0), "", AND(T255&lt;=Q255,D255&lt;=Q255), "Y", OR(T255&gt;Q255,D255&gt;Q255), "N")</f>
        <v/>
      </c>
      <c r="V255" s="62"/>
      <c r="W255" s="63"/>
    </row>
    <row r="256" spans="1:23" x14ac:dyDescent="0.25">
      <c r="A256" s="58"/>
      <c r="B256" s="59"/>
      <c r="C256" s="59"/>
      <c r="D256" s="60"/>
      <c r="E256" s="59"/>
      <c r="F256" s="59"/>
      <c r="G256" s="60"/>
      <c r="H256" s="43" t="str" cm="1">
        <f t="array" ref="H256">IF(OR(F256="", G256=""), "",
  _xlfn.LET(
    _xlpm.rowIndex, MATCH(F256, INDEX(IncomeTable,,1), 0),
    _xlpm.thresholds, INDEX(IncomeTable, _xlpm.rowIndex, 2):INDEX(IncomeTable, _xlpm.rowIndex, 8),
    _xlpm.labels, {20,30,40,50,60,70,80},
    _xlpm.income, G256,
    IF(_xlpm.income &lt; INDEX(_xlpm.thresholds,1), "Below 20%",
      IF(_xlpm.income &gt; INDEX(_xlpm.thresholds,7), "Above 80%",
        INDEX(_xlpm.labels, _xlfn.XLOOKUP(_xlpm.income, _xlpm.thresholds, _xlfn.SEQUENCE(1,7), , -1))
      )
    )
  )
)</f>
        <v/>
      </c>
      <c r="I256" s="42" t="str">
        <f t="shared" si="14"/>
        <v/>
      </c>
      <c r="J256" s="61"/>
      <c r="K256" s="61"/>
      <c r="L256" s="61"/>
      <c r="M256" s="61"/>
      <c r="N256" s="47" t="str">
        <f t="shared" si="16"/>
        <v/>
      </c>
      <c r="O256" s="48" t="str">
        <f>IF(OR(C256="", B256=""), "",
  INDEX(RentTable, MATCH(B256, {0,1,2,3,4}, 0), MATCH(C256, {20,30,40,50,60,70,80}, 1))
)</f>
        <v/>
      </c>
      <c r="P256" s="60"/>
      <c r="Q256" s="48" t="str">
        <f t="shared" si="15"/>
        <v/>
      </c>
      <c r="R256" s="60"/>
      <c r="S256" s="60"/>
      <c r="T256" s="48" t="str">
        <f t="shared" si="12"/>
        <v/>
      </c>
      <c r="U256" s="42" t="str" cm="1">
        <f t="array" ref="U256">_xlfn.IFS(OR(Q256="", T256="", Q256=0, "", T256=0), "", AND(T256&lt;=Q256,D256&lt;=Q256), "Y", OR(T256&gt;Q256,D256&gt;Q256), "N")</f>
        <v/>
      </c>
      <c r="V256" s="62"/>
      <c r="W256" s="63"/>
    </row>
    <row r="257" spans="1:23" x14ac:dyDescent="0.25">
      <c r="A257" s="58"/>
      <c r="B257" s="59"/>
      <c r="C257" s="59"/>
      <c r="D257" s="60"/>
      <c r="E257" s="59"/>
      <c r="F257" s="59"/>
      <c r="G257" s="60"/>
      <c r="H257" s="43" t="str" cm="1">
        <f t="array" ref="H257">IF(OR(F257="", G257=""), "",
  _xlfn.LET(
    _xlpm.rowIndex, MATCH(F257, INDEX(IncomeTable,,1), 0),
    _xlpm.thresholds, INDEX(IncomeTable, _xlpm.rowIndex, 2):INDEX(IncomeTable, _xlpm.rowIndex, 8),
    _xlpm.labels, {20,30,40,50,60,70,80},
    _xlpm.income, G257,
    IF(_xlpm.income &lt; INDEX(_xlpm.thresholds,1), "Below 20%",
      IF(_xlpm.income &gt; INDEX(_xlpm.thresholds,7), "Above 80%",
        INDEX(_xlpm.labels, _xlfn.XLOOKUP(_xlpm.income, _xlpm.thresholds, _xlfn.SEQUENCE(1,7), , -1))
      )
    )
  )
)</f>
        <v/>
      </c>
      <c r="I257" s="42" t="str">
        <f t="shared" si="14"/>
        <v/>
      </c>
      <c r="J257" s="61"/>
      <c r="K257" s="61"/>
      <c r="L257" s="61"/>
      <c r="M257" s="61"/>
      <c r="N257" s="47" t="str">
        <f t="shared" si="16"/>
        <v/>
      </c>
      <c r="O257" s="48" t="str">
        <f>IF(OR(C257="", B257=""), "",
  INDEX(RentTable, MATCH(B257, {0,1,2,3,4}, 0), MATCH(C257, {20,30,40,50,60,70,80}, 1))
)</f>
        <v/>
      </c>
      <c r="P257" s="60"/>
      <c r="Q257" s="48" t="str">
        <f t="shared" si="15"/>
        <v/>
      </c>
      <c r="R257" s="60"/>
      <c r="S257" s="60"/>
      <c r="T257" s="48" t="str">
        <f t="shared" si="12"/>
        <v/>
      </c>
      <c r="U257" s="42" t="str" cm="1">
        <f t="array" ref="U257">_xlfn.IFS(OR(Q257="", T257="", Q257=0, "", T257=0), "", AND(T257&lt;=Q257,D257&lt;=Q257), "Y", OR(T257&gt;Q257,D257&gt;Q257), "N")</f>
        <v/>
      </c>
      <c r="V257" s="62"/>
      <c r="W257" s="63"/>
    </row>
    <row r="258" spans="1:23" x14ac:dyDescent="0.25">
      <c r="A258" s="58"/>
      <c r="B258" s="59"/>
      <c r="C258" s="59"/>
      <c r="D258" s="60"/>
      <c r="E258" s="59"/>
      <c r="F258" s="59"/>
      <c r="G258" s="60"/>
      <c r="H258" s="43" t="str" cm="1">
        <f t="array" ref="H258">IF(OR(F258="", G258=""), "",
  _xlfn.LET(
    _xlpm.rowIndex, MATCH(F258, INDEX(IncomeTable,,1), 0),
    _xlpm.thresholds, INDEX(IncomeTable, _xlpm.rowIndex, 2):INDEX(IncomeTable, _xlpm.rowIndex, 8),
    _xlpm.labels, {20,30,40,50,60,70,80},
    _xlpm.income, G258,
    IF(_xlpm.income &lt; INDEX(_xlpm.thresholds,1), "Below 20%",
      IF(_xlpm.income &gt; INDEX(_xlpm.thresholds,7), "Above 80%",
        INDEX(_xlpm.labels, _xlfn.XLOOKUP(_xlpm.income, _xlpm.thresholds, _xlfn.SEQUENCE(1,7), , -1))
      )
    )
  )
)</f>
        <v/>
      </c>
      <c r="I258" s="42" t="str">
        <f t="shared" si="14"/>
        <v/>
      </c>
      <c r="J258" s="61"/>
      <c r="K258" s="61"/>
      <c r="L258" s="61"/>
      <c r="M258" s="61"/>
      <c r="N258" s="47" t="str">
        <f t="shared" si="16"/>
        <v/>
      </c>
      <c r="O258" s="48" t="str">
        <f>IF(OR(C258="", B258=""), "",
  INDEX(RentTable, MATCH(B258, {0,1,2,3,4}, 0), MATCH(C258, {20,30,40,50,60,70,80}, 1))
)</f>
        <v/>
      </c>
      <c r="P258" s="60"/>
      <c r="Q258" s="48" t="str">
        <f t="shared" si="15"/>
        <v/>
      </c>
      <c r="R258" s="60"/>
      <c r="S258" s="60"/>
      <c r="T258" s="48" t="str">
        <f t="shared" si="12"/>
        <v/>
      </c>
      <c r="U258" s="42" t="str" cm="1">
        <f t="array" ref="U258">_xlfn.IFS(OR(Q258="", T258="", Q258=0, "", T258=0), "", AND(T258&lt;=Q258,D258&lt;=Q258), "Y", OR(T258&gt;Q258,D258&gt;Q258), "N")</f>
        <v/>
      </c>
      <c r="V258" s="62"/>
      <c r="W258" s="63"/>
    </row>
    <row r="259" spans="1:23" x14ac:dyDescent="0.25">
      <c r="A259" s="58"/>
      <c r="B259" s="59"/>
      <c r="C259" s="59"/>
      <c r="D259" s="60"/>
      <c r="E259" s="59"/>
      <c r="F259" s="59"/>
      <c r="G259" s="60"/>
      <c r="H259" s="43" t="str" cm="1">
        <f t="array" ref="H259">IF(OR(F259="", G259=""), "",
  _xlfn.LET(
    _xlpm.rowIndex, MATCH(F259, INDEX(IncomeTable,,1), 0),
    _xlpm.thresholds, INDEX(IncomeTable, _xlpm.rowIndex, 2):INDEX(IncomeTable, _xlpm.rowIndex, 8),
    _xlpm.labels, {20,30,40,50,60,70,80},
    _xlpm.income, G259,
    IF(_xlpm.income &lt; INDEX(_xlpm.thresholds,1), "Below 20%",
      IF(_xlpm.income &gt; INDEX(_xlpm.thresholds,7), "Above 80%",
        INDEX(_xlpm.labels, _xlfn.XLOOKUP(_xlpm.income, _xlpm.thresholds, _xlfn.SEQUENCE(1,7), , -1))
      )
    )
  )
)</f>
        <v/>
      </c>
      <c r="I259" s="42" t="str">
        <f t="shared" si="14"/>
        <v/>
      </c>
      <c r="J259" s="61"/>
      <c r="K259" s="61"/>
      <c r="L259" s="61"/>
      <c r="M259" s="61"/>
      <c r="N259" s="47" t="str">
        <f t="shared" si="16"/>
        <v/>
      </c>
      <c r="O259" s="48" t="str">
        <f>IF(OR(C259="", B259=""), "",
  INDEX(RentTable, MATCH(B259, {0,1,2,3,4}, 0), MATCH(C259, {20,30,40,50,60,70,80}, 1))
)</f>
        <v/>
      </c>
      <c r="P259" s="60"/>
      <c r="Q259" s="48" t="str">
        <f t="shared" si="15"/>
        <v/>
      </c>
      <c r="R259" s="60"/>
      <c r="S259" s="60"/>
      <c r="T259" s="48" t="str">
        <f t="shared" si="12"/>
        <v/>
      </c>
      <c r="U259" s="42" t="str" cm="1">
        <f t="array" ref="U259">_xlfn.IFS(OR(Q259="", T259="", Q259=0, "", T259=0), "", AND(T259&lt;=Q259,D259&lt;=Q259), "Y", OR(T259&gt;Q259,D259&gt;Q259), "N")</f>
        <v/>
      </c>
      <c r="V259" s="62"/>
      <c r="W259" s="63"/>
    </row>
    <row r="260" spans="1:23" x14ac:dyDescent="0.25">
      <c r="A260" s="58"/>
      <c r="B260" s="59"/>
      <c r="C260" s="59"/>
      <c r="D260" s="60"/>
      <c r="E260" s="59"/>
      <c r="F260" s="59"/>
      <c r="G260" s="60"/>
      <c r="H260" s="43" t="str" cm="1">
        <f t="array" ref="H260">IF(OR(F260="", G260=""), "",
  _xlfn.LET(
    _xlpm.rowIndex, MATCH(F260, INDEX(IncomeTable,,1), 0),
    _xlpm.thresholds, INDEX(IncomeTable, _xlpm.rowIndex, 2):INDEX(IncomeTable, _xlpm.rowIndex, 8),
    _xlpm.labels, {20,30,40,50,60,70,80},
    _xlpm.income, G260,
    IF(_xlpm.income &lt; INDEX(_xlpm.thresholds,1), "Below 20%",
      IF(_xlpm.income &gt; INDEX(_xlpm.thresholds,7), "Above 80%",
        INDEX(_xlpm.labels, _xlfn.XLOOKUP(_xlpm.income, _xlpm.thresholds, _xlfn.SEQUENCE(1,7), , -1))
      )
    )
  )
)</f>
        <v/>
      </c>
      <c r="I260" s="42" t="str">
        <f t="shared" si="14"/>
        <v/>
      </c>
      <c r="J260" s="61"/>
      <c r="K260" s="61"/>
      <c r="L260" s="61"/>
      <c r="M260" s="61"/>
      <c r="N260" s="47" t="str">
        <f t="shared" si="16"/>
        <v/>
      </c>
      <c r="O260" s="48" t="str">
        <f>IF(OR(C260="", B260=""), "",
  INDEX(RentTable, MATCH(B260, {0,1,2,3,4}, 0), MATCH(C260, {20,30,40,50,60,70,80}, 1))
)</f>
        <v/>
      </c>
      <c r="P260" s="60"/>
      <c r="Q260" s="48" t="str">
        <f t="shared" si="15"/>
        <v/>
      </c>
      <c r="R260" s="60"/>
      <c r="S260" s="60"/>
      <c r="T260" s="48" t="str">
        <f t="shared" si="12"/>
        <v/>
      </c>
      <c r="U260" s="42" t="str" cm="1">
        <f t="array" ref="U260">_xlfn.IFS(OR(Q260="", T260="", Q260=0, "", T260=0), "", AND(T260&lt;=Q260,D260&lt;=Q260), "Y", OR(T260&gt;Q260,D260&gt;Q260), "N")</f>
        <v/>
      </c>
      <c r="V260" s="62"/>
      <c r="W260" s="63"/>
    </row>
    <row r="261" spans="1:23" x14ac:dyDescent="0.25">
      <c r="A261" s="58"/>
      <c r="B261" s="59"/>
      <c r="C261" s="59"/>
      <c r="D261" s="60"/>
      <c r="E261" s="59"/>
      <c r="F261" s="59"/>
      <c r="G261" s="60"/>
      <c r="H261" s="43" t="str" cm="1">
        <f t="array" ref="H261">IF(OR(F261="", G261=""), "",
  _xlfn.LET(
    _xlpm.rowIndex, MATCH(F261, INDEX(IncomeTable,,1), 0),
    _xlpm.thresholds, INDEX(IncomeTable, _xlpm.rowIndex, 2):INDEX(IncomeTable, _xlpm.rowIndex, 8),
    _xlpm.labels, {20,30,40,50,60,70,80},
    _xlpm.income, G261,
    IF(_xlpm.income &lt; INDEX(_xlpm.thresholds,1), "Below 20%",
      IF(_xlpm.income &gt; INDEX(_xlpm.thresholds,7), "Above 80%",
        INDEX(_xlpm.labels, _xlfn.XLOOKUP(_xlpm.income, _xlpm.thresholds, _xlfn.SEQUENCE(1,7), , -1))
      )
    )
  )
)</f>
        <v/>
      </c>
      <c r="I261" s="42" t="str">
        <f t="shared" si="14"/>
        <v/>
      </c>
      <c r="J261" s="61"/>
      <c r="K261" s="61"/>
      <c r="L261" s="61"/>
      <c r="M261" s="61"/>
      <c r="N261" s="47" t="str">
        <f t="shared" si="16"/>
        <v/>
      </c>
      <c r="O261" s="48" t="str">
        <f>IF(OR(C261="", B261=""), "",
  INDEX(RentTable, MATCH(B261, {0,1,2,3,4}, 0), MATCH(C261, {20,30,40,50,60,70,80}, 1))
)</f>
        <v/>
      </c>
      <c r="P261" s="60"/>
      <c r="Q261" s="48" t="str">
        <f t="shared" si="15"/>
        <v/>
      </c>
      <c r="R261" s="60"/>
      <c r="S261" s="60"/>
      <c r="T261" s="48" t="str">
        <f t="shared" si="12"/>
        <v/>
      </c>
      <c r="U261" s="42" t="str" cm="1">
        <f t="array" ref="U261">_xlfn.IFS(OR(Q261="", T261="", Q261=0, "", T261=0), "", AND(T261&lt;=Q261,D261&lt;=Q261), "Y", OR(T261&gt;Q261,D261&gt;Q261), "N")</f>
        <v/>
      </c>
      <c r="V261" s="62"/>
      <c r="W261" s="63"/>
    </row>
    <row r="262" spans="1:23" x14ac:dyDescent="0.25">
      <c r="A262" s="58"/>
      <c r="B262" s="59"/>
      <c r="C262" s="59"/>
      <c r="D262" s="60"/>
      <c r="E262" s="59"/>
      <c r="F262" s="59"/>
      <c r="G262" s="60"/>
      <c r="H262" s="43" t="str" cm="1">
        <f t="array" ref="H262">IF(OR(F262="", G262=""), "",
  _xlfn.LET(
    _xlpm.rowIndex, MATCH(F262, INDEX(IncomeTable,,1), 0),
    _xlpm.thresholds, INDEX(IncomeTable, _xlpm.rowIndex, 2):INDEX(IncomeTable, _xlpm.rowIndex, 8),
    _xlpm.labels, {20,30,40,50,60,70,80},
    _xlpm.income, G262,
    IF(_xlpm.income &lt; INDEX(_xlpm.thresholds,1), "Below 20%",
      IF(_xlpm.income &gt; INDEX(_xlpm.thresholds,7), "Above 80%",
        INDEX(_xlpm.labels, _xlfn.XLOOKUP(_xlpm.income, _xlpm.thresholds, _xlfn.SEQUENCE(1,7), , -1))
      )
    )
  )
)</f>
        <v/>
      </c>
      <c r="I262" s="42" t="str">
        <f t="shared" si="14"/>
        <v/>
      </c>
      <c r="J262" s="61"/>
      <c r="K262" s="61"/>
      <c r="L262" s="61"/>
      <c r="M262" s="61"/>
      <c r="N262" s="47" t="str">
        <f t="shared" si="16"/>
        <v/>
      </c>
      <c r="O262" s="48" t="str">
        <f>IF(OR(C262="", B262=""), "",
  INDEX(RentTable, MATCH(B262, {0,1,2,3,4}, 0), MATCH(C262, {20,30,40,50,60,70,80}, 1))
)</f>
        <v/>
      </c>
      <c r="P262" s="60"/>
      <c r="Q262" s="48" t="str">
        <f t="shared" si="15"/>
        <v/>
      </c>
      <c r="R262" s="60"/>
      <c r="S262" s="60"/>
      <c r="T262" s="48" t="str">
        <f t="shared" si="12"/>
        <v/>
      </c>
      <c r="U262" s="42" t="str" cm="1">
        <f t="array" ref="U262">_xlfn.IFS(OR(Q262="", T262="", Q262=0, "", T262=0), "", AND(T262&lt;=Q262,D262&lt;=Q262), "Y", OR(T262&gt;Q262,D262&gt;Q262), "N")</f>
        <v/>
      </c>
      <c r="V262" s="62"/>
      <c r="W262" s="63"/>
    </row>
    <row r="263" spans="1:23" x14ac:dyDescent="0.25">
      <c r="A263" s="58"/>
      <c r="B263" s="59"/>
      <c r="C263" s="59"/>
      <c r="D263" s="60"/>
      <c r="E263" s="59"/>
      <c r="F263" s="59"/>
      <c r="G263" s="60"/>
      <c r="H263" s="43" t="str" cm="1">
        <f t="array" ref="H263">IF(OR(F263="", G263=""), "",
  _xlfn.LET(
    _xlpm.rowIndex, MATCH(F263, INDEX(IncomeTable,,1), 0),
    _xlpm.thresholds, INDEX(IncomeTable, _xlpm.rowIndex, 2):INDEX(IncomeTable, _xlpm.rowIndex, 8),
    _xlpm.labels, {20,30,40,50,60,70,80},
    _xlpm.income, G263,
    IF(_xlpm.income &lt; INDEX(_xlpm.thresholds,1), "Below 20%",
      IF(_xlpm.income &gt; INDEX(_xlpm.thresholds,7), "Above 80%",
        INDEX(_xlpm.labels, _xlfn.XLOOKUP(_xlpm.income, _xlpm.thresholds, _xlfn.SEQUENCE(1,7), , -1))
      )
    )
  )
)</f>
        <v/>
      </c>
      <c r="I263" s="42" t="str">
        <f t="shared" si="14"/>
        <v/>
      </c>
      <c r="J263" s="61"/>
      <c r="K263" s="61"/>
      <c r="L263" s="61"/>
      <c r="M263" s="61"/>
      <c r="N263" s="47" t="str">
        <f t="shared" si="16"/>
        <v/>
      </c>
      <c r="O263" s="48" t="str">
        <f>IF(OR(C263="", B263=""), "",
  INDEX(RentTable, MATCH(B263, {0,1,2,3,4}, 0), MATCH(C263, {20,30,40,50,60,70,80}, 1))
)</f>
        <v/>
      </c>
      <c r="P263" s="60"/>
      <c r="Q263" s="48" t="str">
        <f t="shared" si="15"/>
        <v/>
      </c>
      <c r="R263" s="60"/>
      <c r="S263" s="60"/>
      <c r="T263" s="48" t="str">
        <f t="shared" si="12"/>
        <v/>
      </c>
      <c r="U263" s="42" t="str" cm="1">
        <f t="array" ref="U263">_xlfn.IFS(OR(Q263="", T263="", Q263=0, "", T263=0), "", AND(T263&lt;=Q263,D263&lt;=Q263), "Y", OR(T263&gt;Q263,D263&gt;Q263), "N")</f>
        <v/>
      </c>
      <c r="V263" s="62"/>
      <c r="W263" s="63"/>
    </row>
    <row r="264" spans="1:23" x14ac:dyDescent="0.25">
      <c r="A264" s="58"/>
      <c r="B264" s="59"/>
      <c r="C264" s="59"/>
      <c r="D264" s="60"/>
      <c r="E264" s="59"/>
      <c r="F264" s="59"/>
      <c r="G264" s="60"/>
      <c r="H264" s="43" t="str" cm="1">
        <f t="array" ref="H264">IF(OR(F264="", G264=""), "",
  _xlfn.LET(
    _xlpm.rowIndex, MATCH(F264, INDEX(IncomeTable,,1), 0),
    _xlpm.thresholds, INDEX(IncomeTable, _xlpm.rowIndex, 2):INDEX(IncomeTable, _xlpm.rowIndex, 8),
    _xlpm.labels, {20,30,40,50,60,70,80},
    _xlpm.income, G264,
    IF(_xlpm.income &lt; INDEX(_xlpm.thresholds,1), "Below 20%",
      IF(_xlpm.income &gt; INDEX(_xlpm.thresholds,7), "Above 80%",
        INDEX(_xlpm.labels, _xlfn.XLOOKUP(_xlpm.income, _xlpm.thresholds, _xlfn.SEQUENCE(1,7), , -1))
      )
    )
  )
)</f>
        <v/>
      </c>
      <c r="I264" s="42" t="str">
        <f t="shared" si="14"/>
        <v/>
      </c>
      <c r="J264" s="61"/>
      <c r="K264" s="61"/>
      <c r="L264" s="61"/>
      <c r="M264" s="61"/>
      <c r="N264" s="47" t="str">
        <f t="shared" si="16"/>
        <v/>
      </c>
      <c r="O264" s="48" t="str">
        <f>IF(OR(C264="", B264=""), "",
  INDEX(RentTable, MATCH(B264, {0,1,2,3,4}, 0), MATCH(C264, {20,30,40,50,60,70,80}, 1))
)</f>
        <v/>
      </c>
      <c r="P264" s="60"/>
      <c r="Q264" s="48" t="str">
        <f t="shared" si="15"/>
        <v/>
      </c>
      <c r="R264" s="60"/>
      <c r="S264" s="60"/>
      <c r="T264" s="48" t="str">
        <f t="shared" si="12"/>
        <v/>
      </c>
      <c r="U264" s="42" t="str" cm="1">
        <f t="array" ref="U264">_xlfn.IFS(OR(Q264="", T264="", Q264=0, "", T264=0), "", AND(T264&lt;=Q264,D264&lt;=Q264), "Y", OR(T264&gt;Q264,D264&gt;Q264), "N")</f>
        <v/>
      </c>
      <c r="V264" s="62"/>
      <c r="W264" s="63"/>
    </row>
    <row r="265" spans="1:23" x14ac:dyDescent="0.25">
      <c r="A265" s="58"/>
      <c r="B265" s="59"/>
      <c r="C265" s="59"/>
      <c r="D265" s="60"/>
      <c r="E265" s="59"/>
      <c r="F265" s="59"/>
      <c r="G265" s="60"/>
      <c r="H265" s="43" t="str" cm="1">
        <f t="array" ref="H265">IF(OR(F265="", G265=""), "",
  _xlfn.LET(
    _xlpm.rowIndex, MATCH(F265, INDEX(IncomeTable,,1), 0),
    _xlpm.thresholds, INDEX(IncomeTable, _xlpm.rowIndex, 2):INDEX(IncomeTable, _xlpm.rowIndex, 8),
    _xlpm.labels, {20,30,40,50,60,70,80},
    _xlpm.income, G265,
    IF(_xlpm.income &lt; INDEX(_xlpm.thresholds,1), "Below 20%",
      IF(_xlpm.income &gt; INDEX(_xlpm.thresholds,7), "Above 80%",
        INDEX(_xlpm.labels, _xlfn.XLOOKUP(_xlpm.income, _xlpm.thresholds, _xlfn.SEQUENCE(1,7), , -1))
      )
    )
  )
)</f>
        <v/>
      </c>
      <c r="I265" s="42" t="str">
        <f t="shared" si="14"/>
        <v/>
      </c>
      <c r="J265" s="61"/>
      <c r="K265" s="61"/>
      <c r="L265" s="61"/>
      <c r="M265" s="61"/>
      <c r="N265" s="47" t="str">
        <f t="shared" si="16"/>
        <v/>
      </c>
      <c r="O265" s="48" t="str">
        <f>IF(OR(C265="", B265=""), "",
  INDEX(RentTable, MATCH(B265, {0,1,2,3,4}, 0), MATCH(C265, {20,30,40,50,60,70,80}, 1))
)</f>
        <v/>
      </c>
      <c r="P265" s="60"/>
      <c r="Q265" s="48" t="str">
        <f t="shared" si="15"/>
        <v/>
      </c>
      <c r="R265" s="60"/>
      <c r="S265" s="60"/>
      <c r="T265" s="48" t="str">
        <f t="shared" si="12"/>
        <v/>
      </c>
      <c r="U265" s="42" t="str" cm="1">
        <f t="array" ref="U265">_xlfn.IFS(OR(Q265="", T265="", Q265=0, "", T265=0), "", AND(T265&lt;=Q265,D265&lt;=Q265), "Y", OR(T265&gt;Q265,D265&gt;Q265), "N")</f>
        <v/>
      </c>
      <c r="V265" s="62"/>
      <c r="W265" s="63"/>
    </row>
    <row r="266" spans="1:23" x14ac:dyDescent="0.25">
      <c r="A266" s="58"/>
      <c r="B266" s="59"/>
      <c r="C266" s="59"/>
      <c r="D266" s="60"/>
      <c r="E266" s="59"/>
      <c r="F266" s="59"/>
      <c r="G266" s="60"/>
      <c r="H266" s="43" t="str" cm="1">
        <f t="array" ref="H266">IF(OR(F266="", G266=""), "",
  _xlfn.LET(
    _xlpm.rowIndex, MATCH(F266, INDEX(IncomeTable,,1), 0),
    _xlpm.thresholds, INDEX(IncomeTable, _xlpm.rowIndex, 2):INDEX(IncomeTable, _xlpm.rowIndex, 8),
    _xlpm.labels, {20,30,40,50,60,70,80},
    _xlpm.income, G266,
    IF(_xlpm.income &lt; INDEX(_xlpm.thresholds,1), "Below 20%",
      IF(_xlpm.income &gt; INDEX(_xlpm.thresholds,7), "Above 80%",
        INDEX(_xlpm.labels, _xlfn.XLOOKUP(_xlpm.income, _xlpm.thresholds, _xlfn.SEQUENCE(1,7), , -1))
      )
    )
  )
)</f>
        <v/>
      </c>
      <c r="I266" s="42" t="str">
        <f t="shared" si="14"/>
        <v/>
      </c>
      <c r="J266" s="61"/>
      <c r="K266" s="61"/>
      <c r="L266" s="61"/>
      <c r="M266" s="61"/>
      <c r="N266" s="47" t="str">
        <f t="shared" si="16"/>
        <v/>
      </c>
      <c r="O266" s="48" t="str">
        <f>IF(OR(C266="", B266=""), "",
  INDEX(RentTable, MATCH(B266, {0,1,2,3,4}, 0), MATCH(C266, {20,30,40,50,60,70,80}, 1))
)</f>
        <v/>
      </c>
      <c r="P266" s="60"/>
      <c r="Q266" s="48" t="str">
        <f t="shared" si="15"/>
        <v/>
      </c>
      <c r="R266" s="60"/>
      <c r="S266" s="60"/>
      <c r="T266" s="48" t="str">
        <f t="shared" si="12"/>
        <v/>
      </c>
      <c r="U266" s="42" t="str" cm="1">
        <f t="array" ref="U266">_xlfn.IFS(OR(Q266="", T266="", Q266=0, "", T266=0), "", AND(T266&lt;=Q266,D266&lt;=Q266), "Y", OR(T266&gt;Q266,D266&gt;Q266), "N")</f>
        <v/>
      </c>
      <c r="V266" s="62"/>
      <c r="W266" s="63"/>
    </row>
    <row r="267" spans="1:23" x14ac:dyDescent="0.25">
      <c r="A267" s="58"/>
      <c r="B267" s="59"/>
      <c r="C267" s="59"/>
      <c r="D267" s="60"/>
      <c r="E267" s="59"/>
      <c r="F267" s="59"/>
      <c r="G267" s="60"/>
      <c r="H267" s="43" t="str" cm="1">
        <f t="array" ref="H267">IF(OR(F267="", G267=""), "",
  _xlfn.LET(
    _xlpm.rowIndex, MATCH(F267, INDEX(IncomeTable,,1), 0),
    _xlpm.thresholds, INDEX(IncomeTable, _xlpm.rowIndex, 2):INDEX(IncomeTable, _xlpm.rowIndex, 8),
    _xlpm.labels, {20,30,40,50,60,70,80},
    _xlpm.income, G267,
    IF(_xlpm.income &lt; INDEX(_xlpm.thresholds,1), "Below 20%",
      IF(_xlpm.income &gt; INDEX(_xlpm.thresholds,7), "Above 80%",
        INDEX(_xlpm.labels, _xlfn.XLOOKUP(_xlpm.income, _xlpm.thresholds, _xlfn.SEQUENCE(1,7), , -1))
      )
    )
  )
)</f>
        <v/>
      </c>
      <c r="I267" s="42" t="str">
        <f t="shared" si="14"/>
        <v/>
      </c>
      <c r="J267" s="61"/>
      <c r="K267" s="61"/>
      <c r="L267" s="61"/>
      <c r="M267" s="61"/>
      <c r="N267" s="47" t="str">
        <f t="shared" si="16"/>
        <v/>
      </c>
      <c r="O267" s="48" t="str">
        <f>IF(OR(C267="", B267=""), "",
  INDEX(RentTable, MATCH(B267, {0,1,2,3,4}, 0), MATCH(C267, {20,30,40,50,60,70,80}, 1))
)</f>
        <v/>
      </c>
      <c r="P267" s="60"/>
      <c r="Q267" s="48" t="str">
        <f t="shared" si="15"/>
        <v/>
      </c>
      <c r="R267" s="60"/>
      <c r="S267" s="60"/>
      <c r="T267" s="48" t="str">
        <f t="shared" si="12"/>
        <v/>
      </c>
      <c r="U267" s="42" t="str" cm="1">
        <f t="array" ref="U267">_xlfn.IFS(OR(Q267="", T267="", Q267=0, "", T267=0), "", AND(T267&lt;=Q267,D267&lt;=Q267), "Y", OR(T267&gt;Q267,D267&gt;Q267), "N")</f>
        <v/>
      </c>
      <c r="V267" s="62"/>
      <c r="W267" s="63"/>
    </row>
    <row r="268" spans="1:23" x14ac:dyDescent="0.25">
      <c r="A268" s="58"/>
      <c r="B268" s="59"/>
      <c r="C268" s="59"/>
      <c r="D268" s="60"/>
      <c r="E268" s="59"/>
      <c r="F268" s="59"/>
      <c r="G268" s="60"/>
      <c r="H268" s="43" t="str" cm="1">
        <f t="array" ref="H268">IF(OR(F268="", G268=""), "",
  _xlfn.LET(
    _xlpm.rowIndex, MATCH(F268, INDEX(IncomeTable,,1), 0),
    _xlpm.thresholds, INDEX(IncomeTable, _xlpm.rowIndex, 2):INDEX(IncomeTable, _xlpm.rowIndex, 8),
    _xlpm.labels, {20,30,40,50,60,70,80},
    _xlpm.income, G268,
    IF(_xlpm.income &lt; INDEX(_xlpm.thresholds,1), "Below 20%",
      IF(_xlpm.income &gt; INDEX(_xlpm.thresholds,7), "Above 80%",
        INDEX(_xlpm.labels, _xlfn.XLOOKUP(_xlpm.income, _xlpm.thresholds, _xlfn.SEQUENCE(1,7), , -1))
      )
    )
  )
)</f>
        <v/>
      </c>
      <c r="I268" s="42" t="str">
        <f t="shared" si="14"/>
        <v/>
      </c>
      <c r="J268" s="61"/>
      <c r="K268" s="61"/>
      <c r="L268" s="61"/>
      <c r="M268" s="61"/>
      <c r="N268" s="47" t="str">
        <f t="shared" si="16"/>
        <v/>
      </c>
      <c r="O268" s="48" t="str">
        <f>IF(OR(C268="", B268=""), "",
  INDEX(RentTable, MATCH(B268, {0,1,2,3,4}, 0), MATCH(C268, {20,30,40,50,60,70,80}, 1))
)</f>
        <v/>
      </c>
      <c r="P268" s="60"/>
      <c r="Q268" s="48" t="str">
        <f t="shared" si="15"/>
        <v/>
      </c>
      <c r="R268" s="60"/>
      <c r="S268" s="60"/>
      <c r="T268" s="48" t="str">
        <f t="shared" si="12"/>
        <v/>
      </c>
      <c r="U268" s="42" t="str" cm="1">
        <f t="array" ref="U268">_xlfn.IFS(OR(Q268="", T268="", Q268=0, "", T268=0), "", AND(T268&lt;=Q268,D268&lt;=Q268), "Y", OR(T268&gt;Q268,D268&gt;Q268), "N")</f>
        <v/>
      </c>
      <c r="V268" s="62"/>
      <c r="W268" s="63"/>
    </row>
    <row r="269" spans="1:23" x14ac:dyDescent="0.25">
      <c r="A269" s="58"/>
      <c r="B269" s="59"/>
      <c r="C269" s="59"/>
      <c r="D269" s="60"/>
      <c r="E269" s="59"/>
      <c r="F269" s="59"/>
      <c r="G269" s="60"/>
      <c r="H269" s="43" t="str" cm="1">
        <f t="array" ref="H269">IF(OR(F269="", G269=""), "",
  _xlfn.LET(
    _xlpm.rowIndex, MATCH(F269, INDEX(IncomeTable,,1), 0),
    _xlpm.thresholds, INDEX(IncomeTable, _xlpm.rowIndex, 2):INDEX(IncomeTable, _xlpm.rowIndex, 8),
    _xlpm.labels, {20,30,40,50,60,70,80},
    _xlpm.income, G269,
    IF(_xlpm.income &lt; INDEX(_xlpm.thresholds,1), "Below 20%",
      IF(_xlpm.income &gt; INDEX(_xlpm.thresholds,7), "Above 80%",
        INDEX(_xlpm.labels, _xlfn.XLOOKUP(_xlpm.income, _xlpm.thresholds, _xlfn.SEQUENCE(1,7), , -1))
      )
    )
  )
)</f>
        <v/>
      </c>
      <c r="I269" s="42" t="str">
        <f t="shared" si="14"/>
        <v/>
      </c>
      <c r="J269" s="61"/>
      <c r="K269" s="61"/>
      <c r="L269" s="61"/>
      <c r="M269" s="61"/>
      <c r="N269" s="47" t="str">
        <f t="shared" si="16"/>
        <v/>
      </c>
      <c r="O269" s="48" t="str">
        <f>IF(OR(C269="", B269=""), "",
  INDEX(RentTable, MATCH(B269, {0,1,2,3,4}, 0), MATCH(C269, {20,30,40,50,60,70,80}, 1))
)</f>
        <v/>
      </c>
      <c r="P269" s="60"/>
      <c r="Q269" s="48" t="str">
        <f t="shared" si="15"/>
        <v/>
      </c>
      <c r="R269" s="60"/>
      <c r="S269" s="60"/>
      <c r="T269" s="48" t="str">
        <f t="shared" si="12"/>
        <v/>
      </c>
      <c r="U269" s="42" t="str" cm="1">
        <f t="array" ref="U269">_xlfn.IFS(OR(Q269="", T269="", Q269=0, "", T269=0), "", AND(T269&lt;=Q269,D269&lt;=Q269), "Y", OR(T269&gt;Q269,D269&gt;Q269), "N")</f>
        <v/>
      </c>
      <c r="V269" s="62"/>
      <c r="W269" s="63"/>
    </row>
    <row r="270" spans="1:23" x14ac:dyDescent="0.25">
      <c r="A270" s="58"/>
      <c r="B270" s="59"/>
      <c r="C270" s="59"/>
      <c r="D270" s="60"/>
      <c r="E270" s="59"/>
      <c r="F270" s="59"/>
      <c r="G270" s="60"/>
      <c r="H270" s="43" t="str" cm="1">
        <f t="array" ref="H270">IF(OR(F270="", G270=""), "",
  _xlfn.LET(
    _xlpm.rowIndex, MATCH(F270, INDEX(IncomeTable,,1), 0),
    _xlpm.thresholds, INDEX(IncomeTable, _xlpm.rowIndex, 2):INDEX(IncomeTable, _xlpm.rowIndex, 8),
    _xlpm.labels, {20,30,40,50,60,70,80},
    _xlpm.income, G270,
    IF(_xlpm.income &lt; INDEX(_xlpm.thresholds,1), "Below 20%",
      IF(_xlpm.income &gt; INDEX(_xlpm.thresholds,7), "Above 80%",
        INDEX(_xlpm.labels, _xlfn.XLOOKUP(_xlpm.income, _xlpm.thresholds, _xlfn.SEQUENCE(1,7), , -1))
      )
    )
  )
)</f>
        <v/>
      </c>
      <c r="I270" s="42" t="str">
        <f t="shared" si="14"/>
        <v/>
      </c>
      <c r="J270" s="61"/>
      <c r="K270" s="61"/>
      <c r="L270" s="61"/>
      <c r="M270" s="61"/>
      <c r="N270" s="47" t="str">
        <f t="shared" si="16"/>
        <v/>
      </c>
      <c r="O270" s="48" t="str">
        <f>IF(OR(C270="", B270=""), "",
  INDEX(RentTable, MATCH(B270, {0,1,2,3,4}, 0), MATCH(C270, {20,30,40,50,60,70,80}, 1))
)</f>
        <v/>
      </c>
      <c r="P270" s="60"/>
      <c r="Q270" s="48" t="str">
        <f t="shared" si="15"/>
        <v/>
      </c>
      <c r="R270" s="60"/>
      <c r="S270" s="60"/>
      <c r="T270" s="48" t="str">
        <f t="shared" si="12"/>
        <v/>
      </c>
      <c r="U270" s="42" t="str" cm="1">
        <f t="array" ref="U270">_xlfn.IFS(OR(Q270="", T270="", Q270=0, "", T270=0), "", AND(T270&lt;=Q270,D270&lt;=Q270), "Y", OR(T270&gt;Q270,D270&gt;Q270), "N")</f>
        <v/>
      </c>
      <c r="V270" s="62"/>
      <c r="W270" s="63"/>
    </row>
    <row r="271" spans="1:23" x14ac:dyDescent="0.25">
      <c r="A271" s="58"/>
      <c r="B271" s="59"/>
      <c r="C271" s="59"/>
      <c r="D271" s="60"/>
      <c r="E271" s="59"/>
      <c r="F271" s="59"/>
      <c r="G271" s="60"/>
      <c r="H271" s="43" t="str" cm="1">
        <f t="array" ref="H271">IF(OR(F271="", G271=""), "",
  _xlfn.LET(
    _xlpm.rowIndex, MATCH(F271, INDEX(IncomeTable,,1), 0),
    _xlpm.thresholds, INDEX(IncomeTable, _xlpm.rowIndex, 2):INDEX(IncomeTable, _xlpm.rowIndex, 8),
    _xlpm.labels, {20,30,40,50,60,70,80},
    _xlpm.income, G271,
    IF(_xlpm.income &lt; INDEX(_xlpm.thresholds,1), "Below 20%",
      IF(_xlpm.income &gt; INDEX(_xlpm.thresholds,7), "Above 80%",
        INDEX(_xlpm.labels, _xlfn.XLOOKUP(_xlpm.income, _xlpm.thresholds, _xlfn.SEQUENCE(1,7), , -1))
      )
    )
  )
)</f>
        <v/>
      </c>
      <c r="I271" s="42" t="str">
        <f t="shared" si="14"/>
        <v/>
      </c>
      <c r="J271" s="61"/>
      <c r="K271" s="61"/>
      <c r="L271" s="61"/>
      <c r="M271" s="61"/>
      <c r="N271" s="47" t="str">
        <f t="shared" si="16"/>
        <v/>
      </c>
      <c r="O271" s="48" t="str">
        <f>IF(OR(C271="", B271=""), "",
  INDEX(RentTable, MATCH(B271, {0,1,2,3,4}, 0), MATCH(C271, {20,30,40,50,60,70,80}, 1))
)</f>
        <v/>
      </c>
      <c r="P271" s="60"/>
      <c r="Q271" s="48" t="str">
        <f t="shared" si="15"/>
        <v/>
      </c>
      <c r="R271" s="60"/>
      <c r="S271" s="60"/>
      <c r="T271" s="48" t="str">
        <f t="shared" si="12"/>
        <v/>
      </c>
      <c r="U271" s="42" t="str" cm="1">
        <f t="array" ref="U271">_xlfn.IFS(OR(Q271="", T271="", Q271=0, "", T271=0), "", AND(T271&lt;=Q271,D271&lt;=Q271), "Y", OR(T271&gt;Q271,D271&gt;Q271), "N")</f>
        <v/>
      </c>
      <c r="V271" s="62"/>
      <c r="W271" s="63"/>
    </row>
    <row r="272" spans="1:23" x14ac:dyDescent="0.25">
      <c r="A272" s="58"/>
      <c r="B272" s="59"/>
      <c r="C272" s="59"/>
      <c r="D272" s="60"/>
      <c r="E272" s="59"/>
      <c r="F272" s="59"/>
      <c r="G272" s="60"/>
      <c r="H272" s="43" t="str" cm="1">
        <f t="array" ref="H272">IF(OR(F272="", G272=""), "",
  _xlfn.LET(
    _xlpm.rowIndex, MATCH(F272, INDEX(IncomeTable,,1), 0),
    _xlpm.thresholds, INDEX(IncomeTable, _xlpm.rowIndex, 2):INDEX(IncomeTable, _xlpm.rowIndex, 8),
    _xlpm.labels, {20,30,40,50,60,70,80},
    _xlpm.income, G272,
    IF(_xlpm.income &lt; INDEX(_xlpm.thresholds,1), "Below 20%",
      IF(_xlpm.income &gt; INDEX(_xlpm.thresholds,7), "Above 80%",
        INDEX(_xlpm.labels, _xlfn.XLOOKUP(_xlpm.income, _xlpm.thresholds, _xlfn.SEQUENCE(1,7), , -1))
      )
    )
  )
)</f>
        <v/>
      </c>
      <c r="I272" s="42" t="str">
        <f t="shared" si="14"/>
        <v/>
      </c>
      <c r="J272" s="61"/>
      <c r="K272" s="61"/>
      <c r="L272" s="61"/>
      <c r="M272" s="61"/>
      <c r="N272" s="47" t="str">
        <f t="shared" si="16"/>
        <v/>
      </c>
      <c r="O272" s="48" t="str">
        <f>IF(OR(C272="", B272=""), "",
  INDEX(RentTable, MATCH(B272, {0,1,2,3,4}, 0), MATCH(C272, {20,30,40,50,60,70,80}, 1))
)</f>
        <v/>
      </c>
      <c r="P272" s="60"/>
      <c r="Q272" s="48" t="str">
        <f t="shared" si="15"/>
        <v/>
      </c>
      <c r="R272" s="60"/>
      <c r="S272" s="60"/>
      <c r="T272" s="48" t="str">
        <f t="shared" si="12"/>
        <v/>
      </c>
      <c r="U272" s="42" t="str" cm="1">
        <f t="array" ref="U272">_xlfn.IFS(OR(Q272="", T272="", Q272=0, "", T272=0), "", AND(T272&lt;=Q272,D272&lt;=Q272), "Y", OR(T272&gt;Q272,D272&gt;Q272), "N")</f>
        <v/>
      </c>
      <c r="V272" s="62"/>
      <c r="W272" s="63"/>
    </row>
    <row r="273" spans="1:23" x14ac:dyDescent="0.25">
      <c r="A273" s="58"/>
      <c r="B273" s="59"/>
      <c r="C273" s="59"/>
      <c r="D273" s="60"/>
      <c r="E273" s="59"/>
      <c r="F273" s="59"/>
      <c r="G273" s="60"/>
      <c r="H273" s="43" t="str" cm="1">
        <f t="array" ref="H273">IF(OR(F273="", G273=""), "",
  _xlfn.LET(
    _xlpm.rowIndex, MATCH(F273, INDEX(IncomeTable,,1), 0),
    _xlpm.thresholds, INDEX(IncomeTable, _xlpm.rowIndex, 2):INDEX(IncomeTable, _xlpm.rowIndex, 8),
    _xlpm.labels, {20,30,40,50,60,70,80},
    _xlpm.income, G273,
    IF(_xlpm.income &lt; INDEX(_xlpm.thresholds,1), "Below 20%",
      IF(_xlpm.income &gt; INDEX(_xlpm.thresholds,7), "Above 80%",
        INDEX(_xlpm.labels, _xlfn.XLOOKUP(_xlpm.income, _xlpm.thresholds, _xlfn.SEQUENCE(1,7), , -1))
      )
    )
  )
)</f>
        <v/>
      </c>
      <c r="I273" s="42" t="str">
        <f t="shared" si="14"/>
        <v/>
      </c>
      <c r="J273" s="61"/>
      <c r="K273" s="61"/>
      <c r="L273" s="61"/>
      <c r="M273" s="61"/>
      <c r="N273" s="47" t="str">
        <f t="shared" si="16"/>
        <v/>
      </c>
      <c r="O273" s="48" t="str">
        <f>IF(OR(C273="", B273=""), "",
  INDEX(RentTable, MATCH(B273, {0,1,2,3,4}, 0), MATCH(C273, {20,30,40,50,60,70,80}, 1))
)</f>
        <v/>
      </c>
      <c r="P273" s="60"/>
      <c r="Q273" s="48" t="str">
        <f t="shared" si="15"/>
        <v/>
      </c>
      <c r="R273" s="60"/>
      <c r="S273" s="60"/>
      <c r="T273" s="48" t="str">
        <f t="shared" si="12"/>
        <v/>
      </c>
      <c r="U273" s="42" t="str" cm="1">
        <f t="array" ref="U273">_xlfn.IFS(OR(Q273="", T273="", Q273=0, "", T273=0), "", AND(T273&lt;=Q273,D273&lt;=Q273), "Y", OR(T273&gt;Q273,D273&gt;Q273), "N")</f>
        <v/>
      </c>
      <c r="V273" s="62"/>
      <c r="W273" s="63"/>
    </row>
    <row r="274" spans="1:23" x14ac:dyDescent="0.25">
      <c r="A274" s="58"/>
      <c r="B274" s="59"/>
      <c r="C274" s="59"/>
      <c r="D274" s="60"/>
      <c r="E274" s="59"/>
      <c r="F274" s="59"/>
      <c r="G274" s="60"/>
      <c r="H274" s="43" t="str" cm="1">
        <f t="array" ref="H274">IF(OR(F274="", G274=""), "",
  _xlfn.LET(
    _xlpm.rowIndex, MATCH(F274, INDEX(IncomeTable,,1), 0),
    _xlpm.thresholds, INDEX(IncomeTable, _xlpm.rowIndex, 2):INDEX(IncomeTable, _xlpm.rowIndex, 8),
    _xlpm.labels, {20,30,40,50,60,70,80},
    _xlpm.income, G274,
    IF(_xlpm.income &lt; INDEX(_xlpm.thresholds,1), "Below 20%",
      IF(_xlpm.income &gt; INDEX(_xlpm.thresholds,7), "Above 80%",
        INDEX(_xlpm.labels, _xlfn.XLOOKUP(_xlpm.income, _xlpm.thresholds, _xlfn.SEQUENCE(1,7), , -1))
      )
    )
  )
)</f>
        <v/>
      </c>
      <c r="I274" s="42" t="str">
        <f t="shared" si="14"/>
        <v/>
      </c>
      <c r="J274" s="61"/>
      <c r="K274" s="61"/>
      <c r="L274" s="61"/>
      <c r="M274" s="61"/>
      <c r="N274" s="47" t="str">
        <f t="shared" si="16"/>
        <v/>
      </c>
      <c r="O274" s="48" t="str">
        <f>IF(OR(C274="", B274=""), "",
  INDEX(RentTable, MATCH(B274, {0,1,2,3,4}, 0), MATCH(C274, {20,30,40,50,60,70,80}, 1))
)</f>
        <v/>
      </c>
      <c r="P274" s="60"/>
      <c r="Q274" s="48" t="str">
        <f t="shared" si="15"/>
        <v/>
      </c>
      <c r="R274" s="60"/>
      <c r="S274" s="60"/>
      <c r="T274" s="48" t="str">
        <f t="shared" si="12"/>
        <v/>
      </c>
      <c r="U274" s="42" t="str" cm="1">
        <f t="array" ref="U274">_xlfn.IFS(OR(Q274="", T274="", Q274=0, "", T274=0), "", AND(T274&lt;=Q274,D274&lt;=Q274), "Y", OR(T274&gt;Q274,D274&gt;Q274), "N")</f>
        <v/>
      </c>
      <c r="V274" s="62"/>
      <c r="W274" s="63"/>
    </row>
    <row r="275" spans="1:23" x14ac:dyDescent="0.25">
      <c r="A275" s="58"/>
      <c r="B275" s="59"/>
      <c r="C275" s="59"/>
      <c r="D275" s="60"/>
      <c r="E275" s="59"/>
      <c r="F275" s="59"/>
      <c r="G275" s="60"/>
      <c r="H275" s="43" t="str" cm="1">
        <f t="array" ref="H275">IF(OR(F275="", G275=""), "",
  _xlfn.LET(
    _xlpm.rowIndex, MATCH(F275, INDEX(IncomeTable,,1), 0),
    _xlpm.thresholds, INDEX(IncomeTable, _xlpm.rowIndex, 2):INDEX(IncomeTable, _xlpm.rowIndex, 8),
    _xlpm.labels, {20,30,40,50,60,70,80},
    _xlpm.income, G275,
    IF(_xlpm.income &lt; INDEX(_xlpm.thresholds,1), "Below 20%",
      IF(_xlpm.income &gt; INDEX(_xlpm.thresholds,7), "Above 80%",
        INDEX(_xlpm.labels, _xlfn.XLOOKUP(_xlpm.income, _xlpm.thresholds, _xlfn.SEQUENCE(1,7), , -1))
      )
    )
  )
)</f>
        <v/>
      </c>
      <c r="I275" s="42" t="str">
        <f t="shared" si="14"/>
        <v/>
      </c>
      <c r="J275" s="61"/>
      <c r="K275" s="61"/>
      <c r="L275" s="61"/>
      <c r="M275" s="61"/>
      <c r="N275" s="47" t="str">
        <f t="shared" si="16"/>
        <v/>
      </c>
      <c r="O275" s="48" t="str">
        <f>IF(OR(C275="", B275=""), "",
  INDEX(RentTable, MATCH(B275, {0,1,2,3,4}, 0), MATCH(C275, {20,30,40,50,60,70,80}, 1))
)</f>
        <v/>
      </c>
      <c r="P275" s="60"/>
      <c r="Q275" s="48" t="str">
        <f t="shared" si="15"/>
        <v/>
      </c>
      <c r="R275" s="60"/>
      <c r="S275" s="60"/>
      <c r="T275" s="48" t="str">
        <f t="shared" si="12"/>
        <v/>
      </c>
      <c r="U275" s="42" t="str" cm="1">
        <f t="array" ref="U275">_xlfn.IFS(OR(Q275="", T275="", Q275=0, "", T275=0), "", AND(T275&lt;=Q275,D275&lt;=Q275), "Y", OR(T275&gt;Q275,D275&gt;Q275), "N")</f>
        <v/>
      </c>
      <c r="V275" s="62"/>
      <c r="W275" s="63"/>
    </row>
    <row r="276" spans="1:23" x14ac:dyDescent="0.25">
      <c r="A276" s="58"/>
      <c r="B276" s="59"/>
      <c r="C276" s="59"/>
      <c r="D276" s="60"/>
      <c r="E276" s="59"/>
      <c r="F276" s="59"/>
      <c r="G276" s="60"/>
      <c r="H276" s="43" t="str" cm="1">
        <f t="array" ref="H276">IF(OR(F276="", G276=""), "",
  _xlfn.LET(
    _xlpm.rowIndex, MATCH(F276, INDEX(IncomeTable,,1), 0),
    _xlpm.thresholds, INDEX(IncomeTable, _xlpm.rowIndex, 2):INDEX(IncomeTable, _xlpm.rowIndex, 8),
    _xlpm.labels, {20,30,40,50,60,70,80},
    _xlpm.income, G276,
    IF(_xlpm.income &lt; INDEX(_xlpm.thresholds,1), "Below 20%",
      IF(_xlpm.income &gt; INDEX(_xlpm.thresholds,7), "Above 80%",
        INDEX(_xlpm.labels, _xlfn.XLOOKUP(_xlpm.income, _xlpm.thresholds, _xlfn.SEQUENCE(1,7), , -1))
      )
    )
  )
)</f>
        <v/>
      </c>
      <c r="I276" s="42" t="str">
        <f t="shared" si="14"/>
        <v/>
      </c>
      <c r="J276" s="61"/>
      <c r="K276" s="61"/>
      <c r="L276" s="61"/>
      <c r="M276" s="61"/>
      <c r="N276" s="47" t="str">
        <f t="shared" si="16"/>
        <v/>
      </c>
      <c r="O276" s="48" t="str">
        <f>IF(OR(C276="", B276=""), "",
  INDEX(RentTable, MATCH(B276, {0,1,2,3,4}, 0), MATCH(C276, {20,30,40,50,60,70,80}, 1))
)</f>
        <v/>
      </c>
      <c r="P276" s="60"/>
      <c r="Q276" s="48" t="str">
        <f t="shared" si="15"/>
        <v/>
      </c>
      <c r="R276" s="60"/>
      <c r="S276" s="60"/>
      <c r="T276" s="48" t="str">
        <f t="shared" si="12"/>
        <v/>
      </c>
      <c r="U276" s="42" t="str" cm="1">
        <f t="array" ref="U276">_xlfn.IFS(OR(Q276="", T276="", Q276=0, "", T276=0), "", AND(T276&lt;=Q276,D276&lt;=Q276), "Y", OR(T276&gt;Q276,D276&gt;Q276), "N")</f>
        <v/>
      </c>
      <c r="V276" s="62"/>
      <c r="W276" s="63"/>
    </row>
    <row r="277" spans="1:23" x14ac:dyDescent="0.25">
      <c r="A277" s="58"/>
      <c r="B277" s="59"/>
      <c r="C277" s="59"/>
      <c r="D277" s="60"/>
      <c r="E277" s="59"/>
      <c r="F277" s="59"/>
      <c r="G277" s="60"/>
      <c r="H277" s="43" t="str" cm="1">
        <f t="array" ref="H277">IF(OR(F277="", G277=""), "",
  _xlfn.LET(
    _xlpm.rowIndex, MATCH(F277, INDEX(IncomeTable,,1), 0),
    _xlpm.thresholds, INDEX(IncomeTable, _xlpm.rowIndex, 2):INDEX(IncomeTable, _xlpm.rowIndex, 8),
    _xlpm.labels, {20,30,40,50,60,70,80},
    _xlpm.income, G277,
    IF(_xlpm.income &lt; INDEX(_xlpm.thresholds,1), "Below 20%",
      IF(_xlpm.income &gt; INDEX(_xlpm.thresholds,7), "Above 80%",
        INDEX(_xlpm.labels, _xlfn.XLOOKUP(_xlpm.income, _xlpm.thresholds, _xlfn.SEQUENCE(1,7), , -1))
      )
    )
  )
)</f>
        <v/>
      </c>
      <c r="I277" s="42" t="str">
        <f t="shared" si="14"/>
        <v/>
      </c>
      <c r="J277" s="61"/>
      <c r="K277" s="61"/>
      <c r="L277" s="61"/>
      <c r="M277" s="61"/>
      <c r="N277" s="47" t="str">
        <f t="shared" si="16"/>
        <v/>
      </c>
      <c r="O277" s="48" t="str">
        <f>IF(OR(C277="", B277=""), "",
  INDEX(RentTable, MATCH(B277, {0,1,2,3,4}, 0), MATCH(C277, {20,30,40,50,60,70,80}, 1))
)</f>
        <v/>
      </c>
      <c r="P277" s="60"/>
      <c r="Q277" s="48" t="str">
        <f t="shared" si="15"/>
        <v/>
      </c>
      <c r="R277" s="60"/>
      <c r="S277" s="60"/>
      <c r="T277" s="48" t="str">
        <f t="shared" si="12"/>
        <v/>
      </c>
      <c r="U277" s="42" t="str" cm="1">
        <f t="array" ref="U277">_xlfn.IFS(OR(Q277="", T277="", Q277=0, "", T277=0), "", AND(T277&lt;=Q277,D277&lt;=Q277), "Y", OR(T277&gt;Q277,D277&gt;Q277), "N")</f>
        <v/>
      </c>
      <c r="V277" s="62"/>
      <c r="W277" s="63"/>
    </row>
    <row r="278" spans="1:23" x14ac:dyDescent="0.25">
      <c r="A278" s="58"/>
      <c r="B278" s="59"/>
      <c r="C278" s="59"/>
      <c r="D278" s="60"/>
      <c r="E278" s="59"/>
      <c r="F278" s="59"/>
      <c r="G278" s="60"/>
      <c r="H278" s="43" t="str" cm="1">
        <f t="array" ref="H278">IF(OR(F278="", G278=""), "",
  _xlfn.LET(
    _xlpm.rowIndex, MATCH(F278, INDEX(IncomeTable,,1), 0),
    _xlpm.thresholds, INDEX(IncomeTable, _xlpm.rowIndex, 2):INDEX(IncomeTable, _xlpm.rowIndex, 8),
    _xlpm.labels, {20,30,40,50,60,70,80},
    _xlpm.income, G278,
    IF(_xlpm.income &lt; INDEX(_xlpm.thresholds,1), "Below 20%",
      IF(_xlpm.income &gt; INDEX(_xlpm.thresholds,7), "Above 80%",
        INDEX(_xlpm.labels, _xlfn.XLOOKUP(_xlpm.income, _xlpm.thresholds, _xlfn.SEQUENCE(1,7), , -1))
      )
    )
  )
)</f>
        <v/>
      </c>
      <c r="I278" s="42" t="str">
        <f t="shared" si="14"/>
        <v/>
      </c>
      <c r="J278" s="61"/>
      <c r="K278" s="61"/>
      <c r="L278" s="61"/>
      <c r="M278" s="61"/>
      <c r="N278" s="47" t="str">
        <f t="shared" si="16"/>
        <v/>
      </c>
      <c r="O278" s="48" t="str">
        <f>IF(OR(C278="", B278=""), "",
  INDEX(RentTable, MATCH(B278, {0,1,2,3,4}, 0), MATCH(C278, {20,30,40,50,60,70,80}, 1))
)</f>
        <v/>
      </c>
      <c r="P278" s="60"/>
      <c r="Q278" s="48" t="str">
        <f t="shared" si="15"/>
        <v/>
      </c>
      <c r="R278" s="60"/>
      <c r="S278" s="60"/>
      <c r="T278" s="48" t="str">
        <f t="shared" si="12"/>
        <v/>
      </c>
      <c r="U278" s="42" t="str" cm="1">
        <f t="array" ref="U278">_xlfn.IFS(OR(Q278="", T278="", Q278=0, "", T278=0), "", AND(T278&lt;=Q278,D278&lt;=Q278), "Y", OR(T278&gt;Q278,D278&gt;Q278), "N")</f>
        <v/>
      </c>
      <c r="V278" s="62"/>
      <c r="W278" s="63"/>
    </row>
    <row r="279" spans="1:23" x14ac:dyDescent="0.25">
      <c r="A279" s="58"/>
      <c r="B279" s="59"/>
      <c r="C279" s="59"/>
      <c r="D279" s="60"/>
      <c r="E279" s="59"/>
      <c r="F279" s="59"/>
      <c r="G279" s="60"/>
      <c r="H279" s="43" t="str" cm="1">
        <f t="array" ref="H279">IF(OR(F279="", G279=""), "",
  _xlfn.LET(
    _xlpm.rowIndex, MATCH(F279, INDEX(IncomeTable,,1), 0),
    _xlpm.thresholds, INDEX(IncomeTable, _xlpm.rowIndex, 2):INDEX(IncomeTable, _xlpm.rowIndex, 8),
    _xlpm.labels, {20,30,40,50,60,70,80},
    _xlpm.income, G279,
    IF(_xlpm.income &lt; INDEX(_xlpm.thresholds,1), "Below 20%",
      IF(_xlpm.income &gt; INDEX(_xlpm.thresholds,7), "Above 80%",
        INDEX(_xlpm.labels, _xlfn.XLOOKUP(_xlpm.income, _xlpm.thresholds, _xlfn.SEQUENCE(1,7), , -1))
      )
    )
  )
)</f>
        <v/>
      </c>
      <c r="I279" s="42" t="str">
        <f t="shared" si="14"/>
        <v/>
      </c>
      <c r="J279" s="61"/>
      <c r="K279" s="61"/>
      <c r="L279" s="61"/>
      <c r="M279" s="61"/>
      <c r="N279" s="47" t="str">
        <f t="shared" si="16"/>
        <v/>
      </c>
      <c r="O279" s="48" t="str">
        <f>IF(OR(C279="", B279=""), "",
  INDEX(RentTable, MATCH(B279, {0,1,2,3,4}, 0), MATCH(C279, {20,30,40,50,60,70,80}, 1))
)</f>
        <v/>
      </c>
      <c r="P279" s="60"/>
      <c r="Q279" s="48" t="str">
        <f t="shared" si="15"/>
        <v/>
      </c>
      <c r="R279" s="60"/>
      <c r="S279" s="60"/>
      <c r="T279" s="48" t="str">
        <f t="shared" ref="T279:T342" si="17">IF(OR(R279=""), "", R279 + S279)</f>
        <v/>
      </c>
      <c r="U279" s="42" t="str" cm="1">
        <f t="array" ref="U279">_xlfn.IFS(OR(Q279="", T279="", Q279=0, "", T279=0), "", AND(T279&lt;=Q279,D279&lt;=Q279), "Y", OR(T279&gt;Q279,D279&gt;Q279), "N")</f>
        <v/>
      </c>
      <c r="V279" s="62"/>
      <c r="W279" s="63"/>
    </row>
    <row r="280" spans="1:23" x14ac:dyDescent="0.25">
      <c r="A280" s="58"/>
      <c r="B280" s="59"/>
      <c r="C280" s="59"/>
      <c r="D280" s="60"/>
      <c r="E280" s="59"/>
      <c r="F280" s="59"/>
      <c r="G280" s="60"/>
      <c r="H280" s="43" t="str" cm="1">
        <f t="array" ref="H280">IF(OR(F280="", G280=""), "",
  _xlfn.LET(
    _xlpm.rowIndex, MATCH(F280, INDEX(IncomeTable,,1), 0),
    _xlpm.thresholds, INDEX(IncomeTable, _xlpm.rowIndex, 2):INDEX(IncomeTable, _xlpm.rowIndex, 8),
    _xlpm.labels, {20,30,40,50,60,70,80},
    _xlpm.income, G280,
    IF(_xlpm.income &lt; INDEX(_xlpm.thresholds,1), "Below 20%",
      IF(_xlpm.income &gt; INDEX(_xlpm.thresholds,7), "Above 80%",
        INDEX(_xlpm.labels, _xlfn.XLOOKUP(_xlpm.income, _xlpm.thresholds, _xlfn.SEQUENCE(1,7), , -1))
      )
    )
  )
)</f>
        <v/>
      </c>
      <c r="I280" s="42" t="str">
        <f t="shared" si="14"/>
        <v/>
      </c>
      <c r="J280" s="61"/>
      <c r="K280" s="61"/>
      <c r="L280" s="61"/>
      <c r="M280" s="61"/>
      <c r="N280" s="47" t="str">
        <f t="shared" ref="N280:N343" si="18">IF(OR(L280="", M280="", J280=""),"",
   IF(L280="Y",
   IF(M280&lt;J280, "Y", "N"),
   IF(M280&lt;=DATE(YEAR(J280),3,31), "Y", "N")
))</f>
        <v/>
      </c>
      <c r="O280" s="48" t="str">
        <f>IF(OR(C280="", B280=""), "",
  INDEX(RentTable, MATCH(B280, {0,1,2,3,4}, 0), MATCH(C280, {20,30,40,50,60,70,80}, 1))
)</f>
        <v/>
      </c>
      <c r="P280" s="60"/>
      <c r="Q280" s="48" t="str">
        <f t="shared" si="15"/>
        <v/>
      </c>
      <c r="R280" s="60"/>
      <c r="S280" s="60"/>
      <c r="T280" s="48" t="str">
        <f t="shared" si="17"/>
        <v/>
      </c>
      <c r="U280" s="42" t="str" cm="1">
        <f t="array" ref="U280">_xlfn.IFS(OR(Q280="", T280="", Q280=0, "", T280=0), "", AND(T280&lt;=Q280,D280&lt;=Q280), "Y", OR(T280&gt;Q280,D280&gt;Q280), "N")</f>
        <v/>
      </c>
      <c r="V280" s="62"/>
      <c r="W280" s="63"/>
    </row>
    <row r="281" spans="1:23" x14ac:dyDescent="0.25">
      <c r="A281" s="58"/>
      <c r="B281" s="59"/>
      <c r="C281" s="59"/>
      <c r="D281" s="60"/>
      <c r="E281" s="59"/>
      <c r="F281" s="59"/>
      <c r="G281" s="60"/>
      <c r="H281" s="43" t="str" cm="1">
        <f t="array" ref="H281">IF(OR(F281="", G281=""), "",
  _xlfn.LET(
    _xlpm.rowIndex, MATCH(F281, INDEX(IncomeTable,,1), 0),
    _xlpm.thresholds, INDEX(IncomeTable, _xlpm.rowIndex, 2):INDEX(IncomeTable, _xlpm.rowIndex, 8),
    _xlpm.labels, {20,30,40,50,60,70,80},
    _xlpm.income, G281,
    IF(_xlpm.income &lt; INDEX(_xlpm.thresholds,1), "Below 20%",
      IF(_xlpm.income &gt; INDEX(_xlpm.thresholds,7), "Above 80%",
        INDEX(_xlpm.labels, _xlfn.XLOOKUP(_xlpm.income, _xlpm.thresholds, _xlfn.SEQUENCE(1,7), , -1))
      )
    )
  )
)</f>
        <v/>
      </c>
      <c r="I281" s="42" t="str">
        <f t="shared" si="14"/>
        <v/>
      </c>
      <c r="J281" s="61"/>
      <c r="K281" s="61"/>
      <c r="L281" s="61"/>
      <c r="M281" s="61"/>
      <c r="N281" s="47" t="str">
        <f t="shared" si="18"/>
        <v/>
      </c>
      <c r="O281" s="48" t="str">
        <f>IF(OR(C281="", B281=""), "",
  INDEX(RentTable, MATCH(B281, {0,1,2,3,4}, 0), MATCH(C281, {20,30,40,50,60,70,80}, 1))
)</f>
        <v/>
      </c>
      <c r="P281" s="60"/>
      <c r="Q281" s="48" t="str">
        <f t="shared" si="15"/>
        <v/>
      </c>
      <c r="R281" s="60"/>
      <c r="S281" s="60"/>
      <c r="T281" s="48" t="str">
        <f t="shared" si="17"/>
        <v/>
      </c>
      <c r="U281" s="42" t="str" cm="1">
        <f t="array" ref="U281">_xlfn.IFS(OR(Q281="", T281="", Q281=0, "", T281=0), "", AND(T281&lt;=Q281,D281&lt;=Q281), "Y", OR(T281&gt;Q281,D281&gt;Q281), "N")</f>
        <v/>
      </c>
      <c r="V281" s="62"/>
      <c r="W281" s="63"/>
    </row>
    <row r="282" spans="1:23" x14ac:dyDescent="0.25">
      <c r="A282" s="58"/>
      <c r="B282" s="59"/>
      <c r="C282" s="59"/>
      <c r="D282" s="60"/>
      <c r="E282" s="59"/>
      <c r="F282" s="59"/>
      <c r="G282" s="60"/>
      <c r="H282" s="43" t="str" cm="1">
        <f t="array" ref="H282">IF(OR(F282="", G282=""), "",
  _xlfn.LET(
    _xlpm.rowIndex, MATCH(F282, INDEX(IncomeTable,,1), 0),
    _xlpm.thresholds, INDEX(IncomeTable, _xlpm.rowIndex, 2):INDEX(IncomeTable, _xlpm.rowIndex, 8),
    _xlpm.labels, {20,30,40,50,60,70,80},
    _xlpm.income, G282,
    IF(_xlpm.income &lt; INDEX(_xlpm.thresholds,1), "Below 20%",
      IF(_xlpm.income &gt; INDEX(_xlpm.thresholds,7), "Above 80%",
        INDEX(_xlpm.labels, _xlfn.XLOOKUP(_xlpm.income, _xlpm.thresholds, _xlfn.SEQUENCE(1,7), , -1))
      )
    )
  )
)</f>
        <v/>
      </c>
      <c r="I282" s="42" t="str">
        <f t="shared" ref="I282:I345" si="19">IF(AND(ISNUMBER(C282), ISNUMBER(H282)), IF(C282=H282, "Y", "N"), "")</f>
        <v/>
      </c>
      <c r="J282" s="61"/>
      <c r="K282" s="61"/>
      <c r="L282" s="61"/>
      <c r="M282" s="61"/>
      <c r="N282" s="47" t="str">
        <f t="shared" si="18"/>
        <v/>
      </c>
      <c r="O282" s="48" t="str">
        <f>IF(OR(C282="", B282=""), "",
  INDEX(RentTable, MATCH(B282, {0,1,2,3,4}, 0), MATCH(C282, {20,30,40,50,60,70,80}, 1))
)</f>
        <v/>
      </c>
      <c r="P282" s="60"/>
      <c r="Q282" s="48" t="str">
        <f t="shared" ref="Q282:Q345" si="20">IF(OR(O282="", ISBLANK(O282), O282=0), "", O282 - P282)</f>
        <v/>
      </c>
      <c r="R282" s="60"/>
      <c r="S282" s="60"/>
      <c r="T282" s="48" t="str">
        <f t="shared" si="17"/>
        <v/>
      </c>
      <c r="U282" s="42" t="str" cm="1">
        <f t="array" ref="U282">_xlfn.IFS(OR(Q282="", T282="", Q282=0, "", T282=0), "", AND(T282&lt;=Q282,D282&lt;=Q282), "Y", OR(T282&gt;Q282,D282&gt;Q282), "N")</f>
        <v/>
      </c>
      <c r="V282" s="62"/>
      <c r="W282" s="63"/>
    </row>
    <row r="283" spans="1:23" x14ac:dyDescent="0.25">
      <c r="A283" s="58"/>
      <c r="B283" s="59"/>
      <c r="C283" s="59"/>
      <c r="D283" s="60"/>
      <c r="E283" s="59"/>
      <c r="F283" s="59"/>
      <c r="G283" s="60"/>
      <c r="H283" s="43" t="str" cm="1">
        <f t="array" ref="H283">IF(OR(F283="", G283=""), "",
  _xlfn.LET(
    _xlpm.rowIndex, MATCH(F283, INDEX(IncomeTable,,1), 0),
    _xlpm.thresholds, INDEX(IncomeTable, _xlpm.rowIndex, 2):INDEX(IncomeTable, _xlpm.rowIndex, 8),
    _xlpm.labels, {20,30,40,50,60,70,80},
    _xlpm.income, G283,
    IF(_xlpm.income &lt; INDEX(_xlpm.thresholds,1), "Below 20%",
      IF(_xlpm.income &gt; INDEX(_xlpm.thresholds,7), "Above 80%",
        INDEX(_xlpm.labels, _xlfn.XLOOKUP(_xlpm.income, _xlpm.thresholds, _xlfn.SEQUENCE(1,7), , -1))
      )
    )
  )
)</f>
        <v/>
      </c>
      <c r="I283" s="42" t="str">
        <f t="shared" si="19"/>
        <v/>
      </c>
      <c r="J283" s="61"/>
      <c r="K283" s="61"/>
      <c r="L283" s="61"/>
      <c r="M283" s="61"/>
      <c r="N283" s="47" t="str">
        <f t="shared" si="18"/>
        <v/>
      </c>
      <c r="O283" s="48" t="str">
        <f>IF(OR(C283="", B283=""), "",
  INDEX(RentTable, MATCH(B283, {0,1,2,3,4}, 0), MATCH(C283, {20,30,40,50,60,70,80}, 1))
)</f>
        <v/>
      </c>
      <c r="P283" s="60"/>
      <c r="Q283" s="48" t="str">
        <f t="shared" si="20"/>
        <v/>
      </c>
      <c r="R283" s="60"/>
      <c r="S283" s="60"/>
      <c r="T283" s="48" t="str">
        <f t="shared" si="17"/>
        <v/>
      </c>
      <c r="U283" s="42" t="str" cm="1">
        <f t="array" ref="U283">_xlfn.IFS(OR(Q283="", T283="", Q283=0, "", T283=0), "", AND(T283&lt;=Q283,D283&lt;=Q283), "Y", OR(T283&gt;Q283,D283&gt;Q283), "N")</f>
        <v/>
      </c>
      <c r="V283" s="62"/>
      <c r="W283" s="63"/>
    </row>
    <row r="284" spans="1:23" x14ac:dyDescent="0.25">
      <c r="A284" s="58"/>
      <c r="B284" s="59"/>
      <c r="C284" s="59"/>
      <c r="D284" s="60"/>
      <c r="E284" s="59"/>
      <c r="F284" s="59"/>
      <c r="G284" s="60"/>
      <c r="H284" s="43" t="str" cm="1">
        <f t="array" ref="H284">IF(OR(F284="", G284=""), "",
  _xlfn.LET(
    _xlpm.rowIndex, MATCH(F284, INDEX(IncomeTable,,1), 0),
    _xlpm.thresholds, INDEX(IncomeTable, _xlpm.rowIndex, 2):INDEX(IncomeTable, _xlpm.rowIndex, 8),
    _xlpm.labels, {20,30,40,50,60,70,80},
    _xlpm.income, G284,
    IF(_xlpm.income &lt; INDEX(_xlpm.thresholds,1), "Below 20%",
      IF(_xlpm.income &gt; INDEX(_xlpm.thresholds,7), "Above 80%",
        INDEX(_xlpm.labels, _xlfn.XLOOKUP(_xlpm.income, _xlpm.thresholds, _xlfn.SEQUENCE(1,7), , -1))
      )
    )
  )
)</f>
        <v/>
      </c>
      <c r="I284" s="42" t="str">
        <f t="shared" si="19"/>
        <v/>
      </c>
      <c r="J284" s="61"/>
      <c r="K284" s="61"/>
      <c r="L284" s="61"/>
      <c r="M284" s="61"/>
      <c r="N284" s="47" t="str">
        <f t="shared" si="18"/>
        <v/>
      </c>
      <c r="O284" s="48" t="str">
        <f>IF(OR(C284="", B284=""), "",
  INDEX(RentTable, MATCH(B284, {0,1,2,3,4}, 0), MATCH(C284, {20,30,40,50,60,70,80}, 1))
)</f>
        <v/>
      </c>
      <c r="P284" s="60"/>
      <c r="Q284" s="48" t="str">
        <f t="shared" si="20"/>
        <v/>
      </c>
      <c r="R284" s="60"/>
      <c r="S284" s="60"/>
      <c r="T284" s="48" t="str">
        <f t="shared" si="17"/>
        <v/>
      </c>
      <c r="U284" s="42" t="str" cm="1">
        <f t="array" ref="U284">_xlfn.IFS(OR(Q284="", T284="", Q284=0, "", T284=0), "", AND(T284&lt;=Q284,D284&lt;=Q284), "Y", OR(T284&gt;Q284,D284&gt;Q284), "N")</f>
        <v/>
      </c>
      <c r="V284" s="62"/>
      <c r="W284" s="63"/>
    </row>
    <row r="285" spans="1:23" x14ac:dyDescent="0.25">
      <c r="A285" s="58"/>
      <c r="B285" s="59"/>
      <c r="C285" s="59"/>
      <c r="D285" s="60"/>
      <c r="E285" s="59"/>
      <c r="F285" s="59"/>
      <c r="G285" s="60"/>
      <c r="H285" s="43" t="str" cm="1">
        <f t="array" ref="H285">IF(OR(F285="", G285=""), "",
  _xlfn.LET(
    _xlpm.rowIndex, MATCH(F285, INDEX(IncomeTable,,1), 0),
    _xlpm.thresholds, INDEX(IncomeTable, _xlpm.rowIndex, 2):INDEX(IncomeTable, _xlpm.rowIndex, 8),
    _xlpm.labels, {20,30,40,50,60,70,80},
    _xlpm.income, G285,
    IF(_xlpm.income &lt; INDEX(_xlpm.thresholds,1), "Below 20%",
      IF(_xlpm.income &gt; INDEX(_xlpm.thresholds,7), "Above 80%",
        INDEX(_xlpm.labels, _xlfn.XLOOKUP(_xlpm.income, _xlpm.thresholds, _xlfn.SEQUENCE(1,7), , -1))
      )
    )
  )
)</f>
        <v/>
      </c>
      <c r="I285" s="42" t="str">
        <f t="shared" si="19"/>
        <v/>
      </c>
      <c r="J285" s="61"/>
      <c r="K285" s="61"/>
      <c r="L285" s="61"/>
      <c r="M285" s="61"/>
      <c r="N285" s="47" t="str">
        <f t="shared" si="18"/>
        <v/>
      </c>
      <c r="O285" s="48" t="str">
        <f>IF(OR(C285="", B285=""), "",
  INDEX(RentTable, MATCH(B285, {0,1,2,3,4}, 0), MATCH(C285, {20,30,40,50,60,70,80}, 1))
)</f>
        <v/>
      </c>
      <c r="P285" s="60"/>
      <c r="Q285" s="48" t="str">
        <f t="shared" si="20"/>
        <v/>
      </c>
      <c r="R285" s="60"/>
      <c r="S285" s="60"/>
      <c r="T285" s="48" t="str">
        <f t="shared" si="17"/>
        <v/>
      </c>
      <c r="U285" s="42" t="str" cm="1">
        <f t="array" ref="U285">_xlfn.IFS(OR(Q285="", T285="", Q285=0, "", T285=0), "", AND(T285&lt;=Q285,D285&lt;=Q285), "Y", OR(T285&gt;Q285,D285&gt;Q285), "N")</f>
        <v/>
      </c>
      <c r="V285" s="62"/>
      <c r="W285" s="63"/>
    </row>
    <row r="286" spans="1:23" x14ac:dyDescent="0.25">
      <c r="A286" s="58"/>
      <c r="B286" s="59"/>
      <c r="C286" s="59"/>
      <c r="D286" s="60"/>
      <c r="E286" s="59"/>
      <c r="F286" s="59"/>
      <c r="G286" s="60"/>
      <c r="H286" s="43" t="str" cm="1">
        <f t="array" ref="H286">IF(OR(F286="", G286=""), "",
  _xlfn.LET(
    _xlpm.rowIndex, MATCH(F286, INDEX(IncomeTable,,1), 0),
    _xlpm.thresholds, INDEX(IncomeTable, _xlpm.rowIndex, 2):INDEX(IncomeTable, _xlpm.rowIndex, 8),
    _xlpm.labels, {20,30,40,50,60,70,80},
    _xlpm.income, G286,
    IF(_xlpm.income &lt; INDEX(_xlpm.thresholds,1), "Below 20%",
      IF(_xlpm.income &gt; INDEX(_xlpm.thresholds,7), "Above 80%",
        INDEX(_xlpm.labels, _xlfn.XLOOKUP(_xlpm.income, _xlpm.thresholds, _xlfn.SEQUENCE(1,7), , -1))
      )
    )
  )
)</f>
        <v/>
      </c>
      <c r="I286" s="42" t="str">
        <f t="shared" si="19"/>
        <v/>
      </c>
      <c r="J286" s="61"/>
      <c r="K286" s="61"/>
      <c r="L286" s="61"/>
      <c r="M286" s="61"/>
      <c r="N286" s="47" t="str">
        <f t="shared" si="18"/>
        <v/>
      </c>
      <c r="O286" s="48" t="str">
        <f>IF(OR(C286="", B286=""), "",
  INDEX(RentTable, MATCH(B286, {0,1,2,3,4}, 0), MATCH(C286, {20,30,40,50,60,70,80}, 1))
)</f>
        <v/>
      </c>
      <c r="P286" s="60"/>
      <c r="Q286" s="48" t="str">
        <f t="shared" si="20"/>
        <v/>
      </c>
      <c r="R286" s="60"/>
      <c r="S286" s="60"/>
      <c r="T286" s="48" t="str">
        <f t="shared" si="17"/>
        <v/>
      </c>
      <c r="U286" s="42" t="str" cm="1">
        <f t="array" ref="U286">_xlfn.IFS(OR(Q286="", T286="", Q286=0, "", T286=0), "", AND(T286&lt;=Q286,D286&lt;=Q286), "Y", OR(T286&gt;Q286,D286&gt;Q286), "N")</f>
        <v/>
      </c>
      <c r="V286" s="62"/>
      <c r="W286" s="63"/>
    </row>
    <row r="287" spans="1:23" x14ac:dyDescent="0.25">
      <c r="A287" s="58"/>
      <c r="B287" s="59"/>
      <c r="C287" s="59"/>
      <c r="D287" s="60"/>
      <c r="E287" s="59"/>
      <c r="F287" s="59"/>
      <c r="G287" s="60"/>
      <c r="H287" s="43" t="str" cm="1">
        <f t="array" ref="H287">IF(OR(F287="", G287=""), "",
  _xlfn.LET(
    _xlpm.rowIndex, MATCH(F287, INDEX(IncomeTable,,1), 0),
    _xlpm.thresholds, INDEX(IncomeTable, _xlpm.rowIndex, 2):INDEX(IncomeTable, _xlpm.rowIndex, 8),
    _xlpm.labels, {20,30,40,50,60,70,80},
    _xlpm.income, G287,
    IF(_xlpm.income &lt; INDEX(_xlpm.thresholds,1), "Below 20%",
      IF(_xlpm.income &gt; INDEX(_xlpm.thresholds,7), "Above 80%",
        INDEX(_xlpm.labels, _xlfn.XLOOKUP(_xlpm.income, _xlpm.thresholds, _xlfn.SEQUENCE(1,7), , -1))
      )
    )
  )
)</f>
        <v/>
      </c>
      <c r="I287" s="42" t="str">
        <f t="shared" si="19"/>
        <v/>
      </c>
      <c r="J287" s="61"/>
      <c r="K287" s="61"/>
      <c r="L287" s="61"/>
      <c r="M287" s="61"/>
      <c r="N287" s="47" t="str">
        <f t="shared" si="18"/>
        <v/>
      </c>
      <c r="O287" s="48" t="str">
        <f>IF(OR(C287="", B287=""), "",
  INDEX(RentTable, MATCH(B287, {0,1,2,3,4}, 0), MATCH(C287, {20,30,40,50,60,70,80}, 1))
)</f>
        <v/>
      </c>
      <c r="P287" s="60"/>
      <c r="Q287" s="48" t="str">
        <f t="shared" si="20"/>
        <v/>
      </c>
      <c r="R287" s="60"/>
      <c r="S287" s="60"/>
      <c r="T287" s="48" t="str">
        <f t="shared" si="17"/>
        <v/>
      </c>
      <c r="U287" s="42" t="str" cm="1">
        <f t="array" ref="U287">_xlfn.IFS(OR(Q287="", T287="", Q287=0, "", T287=0), "", AND(T287&lt;=Q287,D287&lt;=Q287), "Y", OR(T287&gt;Q287,D287&gt;Q287), "N")</f>
        <v/>
      </c>
      <c r="V287" s="62"/>
      <c r="W287" s="63"/>
    </row>
    <row r="288" spans="1:23" x14ac:dyDescent="0.25">
      <c r="A288" s="58"/>
      <c r="B288" s="59"/>
      <c r="C288" s="59"/>
      <c r="D288" s="60"/>
      <c r="E288" s="59"/>
      <c r="F288" s="59"/>
      <c r="G288" s="60"/>
      <c r="H288" s="43" t="str" cm="1">
        <f t="array" ref="H288">IF(OR(F288="", G288=""), "",
  _xlfn.LET(
    _xlpm.rowIndex, MATCH(F288, INDEX(IncomeTable,,1), 0),
    _xlpm.thresholds, INDEX(IncomeTable, _xlpm.rowIndex, 2):INDEX(IncomeTable, _xlpm.rowIndex, 8),
    _xlpm.labels, {20,30,40,50,60,70,80},
    _xlpm.income, G288,
    IF(_xlpm.income &lt; INDEX(_xlpm.thresholds,1), "Below 20%",
      IF(_xlpm.income &gt; INDEX(_xlpm.thresholds,7), "Above 80%",
        INDEX(_xlpm.labels, _xlfn.XLOOKUP(_xlpm.income, _xlpm.thresholds, _xlfn.SEQUENCE(1,7), , -1))
      )
    )
  )
)</f>
        <v/>
      </c>
      <c r="I288" s="42" t="str">
        <f t="shared" si="19"/>
        <v/>
      </c>
      <c r="J288" s="61"/>
      <c r="K288" s="61"/>
      <c r="L288" s="61"/>
      <c r="M288" s="61"/>
      <c r="N288" s="47" t="str">
        <f t="shared" si="18"/>
        <v/>
      </c>
      <c r="O288" s="48" t="str">
        <f>IF(OR(C288="", B288=""), "",
  INDEX(RentTable, MATCH(B288, {0,1,2,3,4}, 0), MATCH(C288, {20,30,40,50,60,70,80}, 1))
)</f>
        <v/>
      </c>
      <c r="P288" s="60"/>
      <c r="Q288" s="48" t="str">
        <f t="shared" si="20"/>
        <v/>
      </c>
      <c r="R288" s="60"/>
      <c r="S288" s="60"/>
      <c r="T288" s="48" t="str">
        <f t="shared" si="17"/>
        <v/>
      </c>
      <c r="U288" s="42" t="str" cm="1">
        <f t="array" ref="U288">_xlfn.IFS(OR(Q288="", T288="", Q288=0, "", T288=0), "", AND(T288&lt;=Q288,D288&lt;=Q288), "Y", OR(T288&gt;Q288,D288&gt;Q288), "N")</f>
        <v/>
      </c>
      <c r="V288" s="62"/>
      <c r="W288" s="63"/>
    </row>
    <row r="289" spans="1:23" x14ac:dyDescent="0.25">
      <c r="A289" s="58"/>
      <c r="B289" s="59"/>
      <c r="C289" s="59"/>
      <c r="D289" s="60"/>
      <c r="E289" s="59"/>
      <c r="F289" s="59"/>
      <c r="G289" s="60"/>
      <c r="H289" s="43" t="str" cm="1">
        <f t="array" ref="H289">IF(OR(F289="", G289=""), "",
  _xlfn.LET(
    _xlpm.rowIndex, MATCH(F289, INDEX(IncomeTable,,1), 0),
    _xlpm.thresholds, INDEX(IncomeTable, _xlpm.rowIndex, 2):INDEX(IncomeTable, _xlpm.rowIndex, 8),
    _xlpm.labels, {20,30,40,50,60,70,80},
    _xlpm.income, G289,
    IF(_xlpm.income &lt; INDEX(_xlpm.thresholds,1), "Below 20%",
      IF(_xlpm.income &gt; INDEX(_xlpm.thresholds,7), "Above 80%",
        INDEX(_xlpm.labels, _xlfn.XLOOKUP(_xlpm.income, _xlpm.thresholds, _xlfn.SEQUENCE(1,7), , -1))
      )
    )
  )
)</f>
        <v/>
      </c>
      <c r="I289" s="42" t="str">
        <f t="shared" si="19"/>
        <v/>
      </c>
      <c r="J289" s="61"/>
      <c r="K289" s="61"/>
      <c r="L289" s="61"/>
      <c r="M289" s="61"/>
      <c r="N289" s="47" t="str">
        <f t="shared" si="18"/>
        <v/>
      </c>
      <c r="O289" s="48" t="str">
        <f>IF(OR(C289="", B289=""), "",
  INDEX(RentTable, MATCH(B289, {0,1,2,3,4}, 0), MATCH(C289, {20,30,40,50,60,70,80}, 1))
)</f>
        <v/>
      </c>
      <c r="P289" s="60"/>
      <c r="Q289" s="48" t="str">
        <f t="shared" si="20"/>
        <v/>
      </c>
      <c r="R289" s="60"/>
      <c r="S289" s="60"/>
      <c r="T289" s="48" t="str">
        <f t="shared" si="17"/>
        <v/>
      </c>
      <c r="U289" s="42" t="str" cm="1">
        <f t="array" ref="U289">_xlfn.IFS(OR(Q289="", T289="", Q289=0, "", T289=0), "", AND(T289&lt;=Q289,D289&lt;=Q289), "Y", OR(T289&gt;Q289,D289&gt;Q289), "N")</f>
        <v/>
      </c>
      <c r="V289" s="62"/>
      <c r="W289" s="63"/>
    </row>
    <row r="290" spans="1:23" x14ac:dyDescent="0.25">
      <c r="A290" s="58"/>
      <c r="B290" s="59"/>
      <c r="C290" s="59"/>
      <c r="D290" s="60"/>
      <c r="E290" s="59"/>
      <c r="F290" s="59"/>
      <c r="G290" s="60"/>
      <c r="H290" s="43" t="str" cm="1">
        <f t="array" ref="H290">IF(OR(F290="", G290=""), "",
  _xlfn.LET(
    _xlpm.rowIndex, MATCH(F290, INDEX(IncomeTable,,1), 0),
    _xlpm.thresholds, INDEX(IncomeTable, _xlpm.rowIndex, 2):INDEX(IncomeTable, _xlpm.rowIndex, 8),
    _xlpm.labels, {20,30,40,50,60,70,80},
    _xlpm.income, G290,
    IF(_xlpm.income &lt; INDEX(_xlpm.thresholds,1), "Below 20%",
      IF(_xlpm.income &gt; INDEX(_xlpm.thresholds,7), "Above 80%",
        INDEX(_xlpm.labels, _xlfn.XLOOKUP(_xlpm.income, _xlpm.thresholds, _xlfn.SEQUENCE(1,7), , -1))
      )
    )
  )
)</f>
        <v/>
      </c>
      <c r="I290" s="42" t="str">
        <f t="shared" si="19"/>
        <v/>
      </c>
      <c r="J290" s="61"/>
      <c r="K290" s="61"/>
      <c r="L290" s="61"/>
      <c r="M290" s="61"/>
      <c r="N290" s="47" t="str">
        <f t="shared" si="18"/>
        <v/>
      </c>
      <c r="O290" s="48" t="str">
        <f>IF(OR(C290="", B290=""), "",
  INDEX(RentTable, MATCH(B290, {0,1,2,3,4}, 0), MATCH(C290, {20,30,40,50,60,70,80}, 1))
)</f>
        <v/>
      </c>
      <c r="P290" s="60"/>
      <c r="Q290" s="48" t="str">
        <f t="shared" si="20"/>
        <v/>
      </c>
      <c r="R290" s="60"/>
      <c r="S290" s="60"/>
      <c r="T290" s="48" t="str">
        <f t="shared" si="17"/>
        <v/>
      </c>
      <c r="U290" s="42" t="str" cm="1">
        <f t="array" ref="U290">_xlfn.IFS(OR(Q290="", T290="", Q290=0, "", T290=0), "", AND(T290&lt;=Q290,D290&lt;=Q290), "Y", OR(T290&gt;Q290,D290&gt;Q290), "N")</f>
        <v/>
      </c>
      <c r="V290" s="62"/>
      <c r="W290" s="63"/>
    </row>
    <row r="291" spans="1:23" x14ac:dyDescent="0.25">
      <c r="A291" s="58"/>
      <c r="B291" s="59"/>
      <c r="C291" s="59"/>
      <c r="D291" s="60"/>
      <c r="E291" s="59"/>
      <c r="F291" s="59"/>
      <c r="G291" s="60"/>
      <c r="H291" s="43" t="str" cm="1">
        <f t="array" ref="H291">IF(OR(F291="", G291=""), "",
  _xlfn.LET(
    _xlpm.rowIndex, MATCH(F291, INDEX(IncomeTable,,1), 0),
    _xlpm.thresholds, INDEX(IncomeTable, _xlpm.rowIndex, 2):INDEX(IncomeTable, _xlpm.rowIndex, 8),
    _xlpm.labels, {20,30,40,50,60,70,80},
    _xlpm.income, G291,
    IF(_xlpm.income &lt; INDEX(_xlpm.thresholds,1), "Below 20%",
      IF(_xlpm.income &gt; INDEX(_xlpm.thresholds,7), "Above 80%",
        INDEX(_xlpm.labels, _xlfn.XLOOKUP(_xlpm.income, _xlpm.thresholds, _xlfn.SEQUENCE(1,7), , -1))
      )
    )
  )
)</f>
        <v/>
      </c>
      <c r="I291" s="42" t="str">
        <f t="shared" si="19"/>
        <v/>
      </c>
      <c r="J291" s="61"/>
      <c r="K291" s="61"/>
      <c r="L291" s="61"/>
      <c r="M291" s="61"/>
      <c r="N291" s="47" t="str">
        <f t="shared" si="18"/>
        <v/>
      </c>
      <c r="O291" s="48" t="str">
        <f>IF(OR(C291="", B291=""), "",
  INDEX(RentTable, MATCH(B291, {0,1,2,3,4}, 0), MATCH(C291, {20,30,40,50,60,70,80}, 1))
)</f>
        <v/>
      </c>
      <c r="P291" s="60"/>
      <c r="Q291" s="48" t="str">
        <f t="shared" si="20"/>
        <v/>
      </c>
      <c r="R291" s="60"/>
      <c r="S291" s="60"/>
      <c r="T291" s="48" t="str">
        <f t="shared" si="17"/>
        <v/>
      </c>
      <c r="U291" s="42" t="str" cm="1">
        <f t="array" ref="U291">_xlfn.IFS(OR(Q291="", T291="", Q291=0, "", T291=0), "", AND(T291&lt;=Q291,D291&lt;=Q291), "Y", OR(T291&gt;Q291,D291&gt;Q291), "N")</f>
        <v/>
      </c>
      <c r="V291" s="62"/>
      <c r="W291" s="63"/>
    </row>
    <row r="292" spans="1:23" x14ac:dyDescent="0.25">
      <c r="A292" s="58"/>
      <c r="B292" s="59"/>
      <c r="C292" s="59"/>
      <c r="D292" s="60"/>
      <c r="E292" s="59"/>
      <c r="F292" s="59"/>
      <c r="G292" s="60"/>
      <c r="H292" s="43" t="str" cm="1">
        <f t="array" ref="H292">IF(OR(F292="", G292=""), "",
  _xlfn.LET(
    _xlpm.rowIndex, MATCH(F292, INDEX(IncomeTable,,1), 0),
    _xlpm.thresholds, INDEX(IncomeTable, _xlpm.rowIndex, 2):INDEX(IncomeTable, _xlpm.rowIndex, 8),
    _xlpm.labels, {20,30,40,50,60,70,80},
    _xlpm.income, G292,
    IF(_xlpm.income &lt; INDEX(_xlpm.thresholds,1), "Below 20%",
      IF(_xlpm.income &gt; INDEX(_xlpm.thresholds,7), "Above 80%",
        INDEX(_xlpm.labels, _xlfn.XLOOKUP(_xlpm.income, _xlpm.thresholds, _xlfn.SEQUENCE(1,7), , -1))
      )
    )
  )
)</f>
        <v/>
      </c>
      <c r="I292" s="42" t="str">
        <f t="shared" si="19"/>
        <v/>
      </c>
      <c r="J292" s="61"/>
      <c r="K292" s="61"/>
      <c r="L292" s="61"/>
      <c r="M292" s="61"/>
      <c r="N292" s="47" t="str">
        <f t="shared" si="18"/>
        <v/>
      </c>
      <c r="O292" s="48" t="str">
        <f>IF(OR(C292="", B292=""), "",
  INDEX(RentTable, MATCH(B292, {0,1,2,3,4}, 0), MATCH(C292, {20,30,40,50,60,70,80}, 1))
)</f>
        <v/>
      </c>
      <c r="P292" s="60"/>
      <c r="Q292" s="48" t="str">
        <f t="shared" si="20"/>
        <v/>
      </c>
      <c r="R292" s="60"/>
      <c r="S292" s="60"/>
      <c r="T292" s="48" t="str">
        <f t="shared" si="17"/>
        <v/>
      </c>
      <c r="U292" s="42" t="str" cm="1">
        <f t="array" ref="U292">_xlfn.IFS(OR(Q292="", T292="", Q292=0, "", T292=0), "", AND(T292&lt;=Q292,D292&lt;=Q292), "Y", OR(T292&gt;Q292,D292&gt;Q292), "N")</f>
        <v/>
      </c>
      <c r="V292" s="62"/>
      <c r="W292" s="63"/>
    </row>
    <row r="293" spans="1:23" x14ac:dyDescent="0.25">
      <c r="A293" s="58"/>
      <c r="B293" s="59"/>
      <c r="C293" s="59"/>
      <c r="D293" s="60"/>
      <c r="E293" s="59"/>
      <c r="F293" s="59"/>
      <c r="G293" s="60"/>
      <c r="H293" s="43" t="str" cm="1">
        <f t="array" ref="H293">IF(OR(F293="", G293=""), "",
  _xlfn.LET(
    _xlpm.rowIndex, MATCH(F293, INDEX(IncomeTable,,1), 0),
    _xlpm.thresholds, INDEX(IncomeTable, _xlpm.rowIndex, 2):INDEX(IncomeTable, _xlpm.rowIndex, 8),
    _xlpm.labels, {20,30,40,50,60,70,80},
    _xlpm.income, G293,
    IF(_xlpm.income &lt; INDEX(_xlpm.thresholds,1), "Below 20%",
      IF(_xlpm.income &gt; INDEX(_xlpm.thresholds,7), "Above 80%",
        INDEX(_xlpm.labels, _xlfn.XLOOKUP(_xlpm.income, _xlpm.thresholds, _xlfn.SEQUENCE(1,7), , -1))
      )
    )
  )
)</f>
        <v/>
      </c>
      <c r="I293" s="42" t="str">
        <f t="shared" si="19"/>
        <v/>
      </c>
      <c r="J293" s="61"/>
      <c r="K293" s="61"/>
      <c r="L293" s="61"/>
      <c r="M293" s="61"/>
      <c r="N293" s="47" t="str">
        <f t="shared" si="18"/>
        <v/>
      </c>
      <c r="O293" s="48" t="str">
        <f>IF(OR(C293="", B293=""), "",
  INDEX(RentTable, MATCH(B293, {0,1,2,3,4}, 0), MATCH(C293, {20,30,40,50,60,70,80}, 1))
)</f>
        <v/>
      </c>
      <c r="P293" s="60"/>
      <c r="Q293" s="48" t="str">
        <f t="shared" si="20"/>
        <v/>
      </c>
      <c r="R293" s="60"/>
      <c r="S293" s="60"/>
      <c r="T293" s="48" t="str">
        <f t="shared" si="17"/>
        <v/>
      </c>
      <c r="U293" s="42" t="str" cm="1">
        <f t="array" ref="U293">_xlfn.IFS(OR(Q293="", T293="", Q293=0, "", T293=0), "", AND(T293&lt;=Q293,D293&lt;=Q293), "Y", OR(T293&gt;Q293,D293&gt;Q293), "N")</f>
        <v/>
      </c>
      <c r="V293" s="62"/>
      <c r="W293" s="63"/>
    </row>
    <row r="294" spans="1:23" x14ac:dyDescent="0.25">
      <c r="A294" s="58"/>
      <c r="B294" s="59"/>
      <c r="C294" s="59"/>
      <c r="D294" s="60"/>
      <c r="E294" s="59"/>
      <c r="F294" s="59"/>
      <c r="G294" s="60"/>
      <c r="H294" s="43" t="str" cm="1">
        <f t="array" ref="H294">IF(OR(F294="", G294=""), "",
  _xlfn.LET(
    _xlpm.rowIndex, MATCH(F294, INDEX(IncomeTable,,1), 0),
    _xlpm.thresholds, INDEX(IncomeTable, _xlpm.rowIndex, 2):INDEX(IncomeTable, _xlpm.rowIndex, 8),
    _xlpm.labels, {20,30,40,50,60,70,80},
    _xlpm.income, G294,
    IF(_xlpm.income &lt; INDEX(_xlpm.thresholds,1), "Below 20%",
      IF(_xlpm.income &gt; INDEX(_xlpm.thresholds,7), "Above 80%",
        INDEX(_xlpm.labels, _xlfn.XLOOKUP(_xlpm.income, _xlpm.thresholds, _xlfn.SEQUENCE(1,7), , -1))
      )
    )
  )
)</f>
        <v/>
      </c>
      <c r="I294" s="42" t="str">
        <f t="shared" si="19"/>
        <v/>
      </c>
      <c r="J294" s="61"/>
      <c r="K294" s="61"/>
      <c r="L294" s="61"/>
      <c r="M294" s="61"/>
      <c r="N294" s="47" t="str">
        <f t="shared" si="18"/>
        <v/>
      </c>
      <c r="O294" s="48" t="str">
        <f>IF(OR(C294="", B294=""), "",
  INDEX(RentTable, MATCH(B294, {0,1,2,3,4}, 0), MATCH(C294, {20,30,40,50,60,70,80}, 1))
)</f>
        <v/>
      </c>
      <c r="P294" s="60"/>
      <c r="Q294" s="48" t="str">
        <f t="shared" si="20"/>
        <v/>
      </c>
      <c r="R294" s="60"/>
      <c r="S294" s="60"/>
      <c r="T294" s="48" t="str">
        <f t="shared" si="17"/>
        <v/>
      </c>
      <c r="U294" s="42" t="str" cm="1">
        <f t="array" ref="U294">_xlfn.IFS(OR(Q294="", T294="", Q294=0, "", T294=0), "", AND(T294&lt;=Q294,D294&lt;=Q294), "Y", OR(T294&gt;Q294,D294&gt;Q294), "N")</f>
        <v/>
      </c>
      <c r="V294" s="62"/>
      <c r="W294" s="63"/>
    </row>
    <row r="295" spans="1:23" x14ac:dyDescent="0.25">
      <c r="A295" s="58"/>
      <c r="B295" s="59"/>
      <c r="C295" s="59"/>
      <c r="D295" s="60"/>
      <c r="E295" s="59"/>
      <c r="F295" s="59"/>
      <c r="G295" s="60"/>
      <c r="H295" s="43" t="str" cm="1">
        <f t="array" ref="H295">IF(OR(F295="", G295=""), "",
  _xlfn.LET(
    _xlpm.rowIndex, MATCH(F295, INDEX(IncomeTable,,1), 0),
    _xlpm.thresholds, INDEX(IncomeTable, _xlpm.rowIndex, 2):INDEX(IncomeTable, _xlpm.rowIndex, 8),
    _xlpm.labels, {20,30,40,50,60,70,80},
    _xlpm.income, G295,
    IF(_xlpm.income &lt; INDEX(_xlpm.thresholds,1), "Below 20%",
      IF(_xlpm.income &gt; INDEX(_xlpm.thresholds,7), "Above 80%",
        INDEX(_xlpm.labels, _xlfn.XLOOKUP(_xlpm.income, _xlpm.thresholds, _xlfn.SEQUENCE(1,7), , -1))
      )
    )
  )
)</f>
        <v/>
      </c>
      <c r="I295" s="42" t="str">
        <f t="shared" si="19"/>
        <v/>
      </c>
      <c r="J295" s="61"/>
      <c r="K295" s="61"/>
      <c r="L295" s="61"/>
      <c r="M295" s="61"/>
      <c r="N295" s="47" t="str">
        <f t="shared" si="18"/>
        <v/>
      </c>
      <c r="O295" s="48" t="str">
        <f>IF(OR(C295="", B295=""), "",
  INDEX(RentTable, MATCH(B295, {0,1,2,3,4}, 0), MATCH(C295, {20,30,40,50,60,70,80}, 1))
)</f>
        <v/>
      </c>
      <c r="P295" s="60"/>
      <c r="Q295" s="48" t="str">
        <f t="shared" si="20"/>
        <v/>
      </c>
      <c r="R295" s="60"/>
      <c r="S295" s="60"/>
      <c r="T295" s="48" t="str">
        <f t="shared" si="17"/>
        <v/>
      </c>
      <c r="U295" s="42" t="str" cm="1">
        <f t="array" ref="U295">_xlfn.IFS(OR(Q295="", T295="", Q295=0, "", T295=0), "", AND(T295&lt;=Q295,D295&lt;=Q295), "Y", OR(T295&gt;Q295,D295&gt;Q295), "N")</f>
        <v/>
      </c>
      <c r="V295" s="62"/>
      <c r="W295" s="63"/>
    </row>
    <row r="296" spans="1:23" x14ac:dyDescent="0.25">
      <c r="A296" s="58"/>
      <c r="B296" s="59"/>
      <c r="C296" s="59"/>
      <c r="D296" s="60"/>
      <c r="E296" s="59"/>
      <c r="F296" s="59"/>
      <c r="G296" s="60"/>
      <c r="H296" s="43" t="str" cm="1">
        <f t="array" ref="H296">IF(OR(F296="", G296=""), "",
  _xlfn.LET(
    _xlpm.rowIndex, MATCH(F296, INDEX(IncomeTable,,1), 0),
    _xlpm.thresholds, INDEX(IncomeTable, _xlpm.rowIndex, 2):INDEX(IncomeTable, _xlpm.rowIndex, 8),
    _xlpm.labels, {20,30,40,50,60,70,80},
    _xlpm.income, G296,
    IF(_xlpm.income &lt; INDEX(_xlpm.thresholds,1), "Below 20%",
      IF(_xlpm.income &gt; INDEX(_xlpm.thresholds,7), "Above 80%",
        INDEX(_xlpm.labels, _xlfn.XLOOKUP(_xlpm.income, _xlpm.thresholds, _xlfn.SEQUENCE(1,7), , -1))
      )
    )
  )
)</f>
        <v/>
      </c>
      <c r="I296" s="42" t="str">
        <f t="shared" si="19"/>
        <v/>
      </c>
      <c r="J296" s="61"/>
      <c r="K296" s="61"/>
      <c r="L296" s="61"/>
      <c r="M296" s="61"/>
      <c r="N296" s="47" t="str">
        <f t="shared" si="18"/>
        <v/>
      </c>
      <c r="O296" s="48" t="str">
        <f>IF(OR(C296="", B296=""), "",
  INDEX(RentTable, MATCH(B296, {0,1,2,3,4}, 0), MATCH(C296, {20,30,40,50,60,70,80}, 1))
)</f>
        <v/>
      </c>
      <c r="P296" s="60"/>
      <c r="Q296" s="48" t="str">
        <f t="shared" si="20"/>
        <v/>
      </c>
      <c r="R296" s="60"/>
      <c r="S296" s="60"/>
      <c r="T296" s="48" t="str">
        <f t="shared" si="17"/>
        <v/>
      </c>
      <c r="U296" s="42" t="str" cm="1">
        <f t="array" ref="U296">_xlfn.IFS(OR(Q296="", T296="", Q296=0, "", T296=0), "", AND(T296&lt;=Q296,D296&lt;=Q296), "Y", OR(T296&gt;Q296,D296&gt;Q296), "N")</f>
        <v/>
      </c>
      <c r="V296" s="62"/>
      <c r="W296" s="63"/>
    </row>
    <row r="297" spans="1:23" x14ac:dyDescent="0.25">
      <c r="A297" s="58"/>
      <c r="B297" s="59"/>
      <c r="C297" s="59"/>
      <c r="D297" s="60"/>
      <c r="E297" s="59"/>
      <c r="F297" s="59"/>
      <c r="G297" s="60"/>
      <c r="H297" s="43" t="str" cm="1">
        <f t="array" ref="H297">IF(OR(F297="", G297=""), "",
  _xlfn.LET(
    _xlpm.rowIndex, MATCH(F297, INDEX(IncomeTable,,1), 0),
    _xlpm.thresholds, INDEX(IncomeTable, _xlpm.rowIndex, 2):INDEX(IncomeTable, _xlpm.rowIndex, 8),
    _xlpm.labels, {20,30,40,50,60,70,80},
    _xlpm.income, G297,
    IF(_xlpm.income &lt; INDEX(_xlpm.thresholds,1), "Below 20%",
      IF(_xlpm.income &gt; INDEX(_xlpm.thresholds,7), "Above 80%",
        INDEX(_xlpm.labels, _xlfn.XLOOKUP(_xlpm.income, _xlpm.thresholds, _xlfn.SEQUENCE(1,7), , -1))
      )
    )
  )
)</f>
        <v/>
      </c>
      <c r="I297" s="42" t="str">
        <f t="shared" si="19"/>
        <v/>
      </c>
      <c r="J297" s="61"/>
      <c r="K297" s="61"/>
      <c r="L297" s="61"/>
      <c r="M297" s="61"/>
      <c r="N297" s="47" t="str">
        <f t="shared" si="18"/>
        <v/>
      </c>
      <c r="O297" s="48" t="str">
        <f>IF(OR(C297="", B297=""), "",
  INDEX(RentTable, MATCH(B297, {0,1,2,3,4}, 0), MATCH(C297, {20,30,40,50,60,70,80}, 1))
)</f>
        <v/>
      </c>
      <c r="P297" s="60"/>
      <c r="Q297" s="48" t="str">
        <f t="shared" si="20"/>
        <v/>
      </c>
      <c r="R297" s="60"/>
      <c r="S297" s="60"/>
      <c r="T297" s="48" t="str">
        <f t="shared" si="17"/>
        <v/>
      </c>
      <c r="U297" s="42" t="str" cm="1">
        <f t="array" ref="U297">_xlfn.IFS(OR(Q297="", T297="", Q297=0, "", T297=0), "", AND(T297&lt;=Q297,D297&lt;=Q297), "Y", OR(T297&gt;Q297,D297&gt;Q297), "N")</f>
        <v/>
      </c>
      <c r="V297" s="62"/>
      <c r="W297" s="63"/>
    </row>
    <row r="298" spans="1:23" x14ac:dyDescent="0.25">
      <c r="A298" s="58"/>
      <c r="B298" s="59"/>
      <c r="C298" s="59"/>
      <c r="D298" s="60"/>
      <c r="E298" s="59"/>
      <c r="F298" s="59"/>
      <c r="G298" s="60"/>
      <c r="H298" s="43" t="str" cm="1">
        <f t="array" ref="H298">IF(OR(F298="", G298=""), "",
  _xlfn.LET(
    _xlpm.rowIndex, MATCH(F298, INDEX(IncomeTable,,1), 0),
    _xlpm.thresholds, INDEX(IncomeTable, _xlpm.rowIndex, 2):INDEX(IncomeTable, _xlpm.rowIndex, 8),
    _xlpm.labels, {20,30,40,50,60,70,80},
    _xlpm.income, G298,
    IF(_xlpm.income &lt; INDEX(_xlpm.thresholds,1), "Below 20%",
      IF(_xlpm.income &gt; INDEX(_xlpm.thresholds,7), "Above 80%",
        INDEX(_xlpm.labels, _xlfn.XLOOKUP(_xlpm.income, _xlpm.thresholds, _xlfn.SEQUENCE(1,7), , -1))
      )
    )
  )
)</f>
        <v/>
      </c>
      <c r="I298" s="42" t="str">
        <f t="shared" si="19"/>
        <v/>
      </c>
      <c r="J298" s="61"/>
      <c r="K298" s="61"/>
      <c r="L298" s="61"/>
      <c r="M298" s="61"/>
      <c r="N298" s="47" t="str">
        <f t="shared" si="18"/>
        <v/>
      </c>
      <c r="O298" s="48" t="str">
        <f>IF(OR(C298="", B298=""), "",
  INDEX(RentTable, MATCH(B298, {0,1,2,3,4}, 0), MATCH(C298, {20,30,40,50,60,70,80}, 1))
)</f>
        <v/>
      </c>
      <c r="P298" s="60"/>
      <c r="Q298" s="48" t="str">
        <f t="shared" si="20"/>
        <v/>
      </c>
      <c r="R298" s="60"/>
      <c r="S298" s="60"/>
      <c r="T298" s="48" t="str">
        <f t="shared" si="17"/>
        <v/>
      </c>
      <c r="U298" s="42" t="str" cm="1">
        <f t="array" ref="U298">_xlfn.IFS(OR(Q298="", T298="", Q298=0, "", T298=0), "", AND(T298&lt;=Q298,D298&lt;=Q298), "Y", OR(T298&gt;Q298,D298&gt;Q298), "N")</f>
        <v/>
      </c>
      <c r="V298" s="62"/>
      <c r="W298" s="63"/>
    </row>
    <row r="299" spans="1:23" x14ac:dyDescent="0.25">
      <c r="A299" s="58"/>
      <c r="B299" s="59"/>
      <c r="C299" s="59"/>
      <c r="D299" s="60"/>
      <c r="E299" s="59"/>
      <c r="F299" s="59"/>
      <c r="G299" s="60"/>
      <c r="H299" s="43" t="str" cm="1">
        <f t="array" ref="H299">IF(OR(F299="", G299=""), "",
  _xlfn.LET(
    _xlpm.rowIndex, MATCH(F299, INDEX(IncomeTable,,1), 0),
    _xlpm.thresholds, INDEX(IncomeTable, _xlpm.rowIndex, 2):INDEX(IncomeTable, _xlpm.rowIndex, 8),
    _xlpm.labels, {20,30,40,50,60,70,80},
    _xlpm.income, G299,
    IF(_xlpm.income &lt; INDEX(_xlpm.thresholds,1), "Below 20%",
      IF(_xlpm.income &gt; INDEX(_xlpm.thresholds,7), "Above 80%",
        INDEX(_xlpm.labels, _xlfn.XLOOKUP(_xlpm.income, _xlpm.thresholds, _xlfn.SEQUENCE(1,7), , -1))
      )
    )
  )
)</f>
        <v/>
      </c>
      <c r="I299" s="42" t="str">
        <f t="shared" si="19"/>
        <v/>
      </c>
      <c r="J299" s="61"/>
      <c r="K299" s="61"/>
      <c r="L299" s="61"/>
      <c r="M299" s="61"/>
      <c r="N299" s="47" t="str">
        <f t="shared" si="18"/>
        <v/>
      </c>
      <c r="O299" s="48" t="str">
        <f>IF(OR(C299="", B299=""), "",
  INDEX(RentTable, MATCH(B299, {0,1,2,3,4}, 0), MATCH(C299, {20,30,40,50,60,70,80}, 1))
)</f>
        <v/>
      </c>
      <c r="P299" s="60"/>
      <c r="Q299" s="48" t="str">
        <f t="shared" si="20"/>
        <v/>
      </c>
      <c r="R299" s="60"/>
      <c r="S299" s="60"/>
      <c r="T299" s="48" t="str">
        <f t="shared" si="17"/>
        <v/>
      </c>
      <c r="U299" s="42" t="str" cm="1">
        <f t="array" ref="U299">_xlfn.IFS(OR(Q299="", T299="", Q299=0, "", T299=0), "", AND(T299&lt;=Q299,D299&lt;=Q299), "Y", OR(T299&gt;Q299,D299&gt;Q299), "N")</f>
        <v/>
      </c>
      <c r="V299" s="62"/>
      <c r="W299" s="63"/>
    </row>
    <row r="300" spans="1:23" x14ac:dyDescent="0.25">
      <c r="A300" s="58"/>
      <c r="B300" s="59"/>
      <c r="C300" s="59"/>
      <c r="D300" s="60"/>
      <c r="E300" s="59"/>
      <c r="F300" s="59"/>
      <c r="G300" s="60"/>
      <c r="H300" s="43" t="str" cm="1">
        <f t="array" ref="H300">IF(OR(F300="", G300=""), "",
  _xlfn.LET(
    _xlpm.rowIndex, MATCH(F300, INDEX(IncomeTable,,1), 0),
    _xlpm.thresholds, INDEX(IncomeTable, _xlpm.rowIndex, 2):INDEX(IncomeTable, _xlpm.rowIndex, 8),
    _xlpm.labels, {20,30,40,50,60,70,80},
    _xlpm.income, G300,
    IF(_xlpm.income &lt; INDEX(_xlpm.thresholds,1), "Below 20%",
      IF(_xlpm.income &gt; INDEX(_xlpm.thresholds,7), "Above 80%",
        INDEX(_xlpm.labels, _xlfn.XLOOKUP(_xlpm.income, _xlpm.thresholds, _xlfn.SEQUENCE(1,7), , -1))
      )
    )
  )
)</f>
        <v/>
      </c>
      <c r="I300" s="42" t="str">
        <f t="shared" si="19"/>
        <v/>
      </c>
      <c r="J300" s="61"/>
      <c r="K300" s="61"/>
      <c r="L300" s="61"/>
      <c r="M300" s="61"/>
      <c r="N300" s="47" t="str">
        <f t="shared" si="18"/>
        <v/>
      </c>
      <c r="O300" s="48" t="str">
        <f>IF(OR(C300="", B300=""), "",
  INDEX(RentTable, MATCH(B300, {0,1,2,3,4}, 0), MATCH(C300, {20,30,40,50,60,70,80}, 1))
)</f>
        <v/>
      </c>
      <c r="P300" s="60"/>
      <c r="Q300" s="48" t="str">
        <f t="shared" si="20"/>
        <v/>
      </c>
      <c r="R300" s="60"/>
      <c r="S300" s="60"/>
      <c r="T300" s="48" t="str">
        <f t="shared" si="17"/>
        <v/>
      </c>
      <c r="U300" s="42" t="str" cm="1">
        <f t="array" ref="U300">_xlfn.IFS(OR(Q300="", T300="", Q300=0, "", T300=0), "", AND(T300&lt;=Q300,D300&lt;=Q300), "Y", OR(T300&gt;Q300,D300&gt;Q300), "N")</f>
        <v/>
      </c>
      <c r="V300" s="62"/>
      <c r="W300" s="63"/>
    </row>
    <row r="301" spans="1:23" x14ac:dyDescent="0.25">
      <c r="A301" s="58"/>
      <c r="B301" s="59"/>
      <c r="C301" s="59"/>
      <c r="D301" s="60"/>
      <c r="E301" s="59"/>
      <c r="F301" s="59"/>
      <c r="G301" s="60"/>
      <c r="H301" s="43" t="str" cm="1">
        <f t="array" ref="H301">IF(OR(F301="", G301=""), "",
  _xlfn.LET(
    _xlpm.rowIndex, MATCH(F301, INDEX(IncomeTable,,1), 0),
    _xlpm.thresholds, INDEX(IncomeTable, _xlpm.rowIndex, 2):INDEX(IncomeTable, _xlpm.rowIndex, 8),
    _xlpm.labels, {20,30,40,50,60,70,80},
    _xlpm.income, G301,
    IF(_xlpm.income &lt; INDEX(_xlpm.thresholds,1), "Below 20%",
      IF(_xlpm.income &gt; INDEX(_xlpm.thresholds,7), "Above 80%",
        INDEX(_xlpm.labels, _xlfn.XLOOKUP(_xlpm.income, _xlpm.thresholds, _xlfn.SEQUENCE(1,7), , -1))
      )
    )
  )
)</f>
        <v/>
      </c>
      <c r="I301" s="42" t="str">
        <f t="shared" si="19"/>
        <v/>
      </c>
      <c r="J301" s="61"/>
      <c r="K301" s="61"/>
      <c r="L301" s="61"/>
      <c r="M301" s="61"/>
      <c r="N301" s="47" t="str">
        <f t="shared" si="18"/>
        <v/>
      </c>
      <c r="O301" s="48" t="str">
        <f>IF(OR(C301="", B301=""), "",
  INDEX(RentTable, MATCH(B301, {0,1,2,3,4}, 0), MATCH(C301, {20,30,40,50,60,70,80}, 1))
)</f>
        <v/>
      </c>
      <c r="P301" s="60"/>
      <c r="Q301" s="48" t="str">
        <f t="shared" si="20"/>
        <v/>
      </c>
      <c r="R301" s="60"/>
      <c r="S301" s="60"/>
      <c r="T301" s="48" t="str">
        <f t="shared" si="17"/>
        <v/>
      </c>
      <c r="U301" s="42" t="str" cm="1">
        <f t="array" ref="U301">_xlfn.IFS(OR(Q301="", T301="", Q301=0, "", T301=0), "", AND(T301&lt;=Q301,D301&lt;=Q301), "Y", OR(T301&gt;Q301,D301&gt;Q301), "N")</f>
        <v/>
      </c>
      <c r="V301" s="62"/>
      <c r="W301" s="63"/>
    </row>
    <row r="302" spans="1:23" x14ac:dyDescent="0.25">
      <c r="A302" s="58"/>
      <c r="B302" s="59"/>
      <c r="C302" s="59"/>
      <c r="D302" s="60"/>
      <c r="E302" s="59"/>
      <c r="F302" s="59"/>
      <c r="G302" s="60"/>
      <c r="H302" s="43" t="str" cm="1">
        <f t="array" ref="H302">IF(OR(F302="", G302=""), "",
  _xlfn.LET(
    _xlpm.rowIndex, MATCH(F302, INDEX(IncomeTable,,1), 0),
    _xlpm.thresholds, INDEX(IncomeTable, _xlpm.rowIndex, 2):INDEX(IncomeTable, _xlpm.rowIndex, 8),
    _xlpm.labels, {20,30,40,50,60,70,80},
    _xlpm.income, G302,
    IF(_xlpm.income &lt; INDEX(_xlpm.thresholds,1), "Below 20%",
      IF(_xlpm.income &gt; INDEX(_xlpm.thresholds,7), "Above 80%",
        INDEX(_xlpm.labels, _xlfn.XLOOKUP(_xlpm.income, _xlpm.thresholds, _xlfn.SEQUENCE(1,7), , -1))
      )
    )
  )
)</f>
        <v/>
      </c>
      <c r="I302" s="42" t="str">
        <f t="shared" si="19"/>
        <v/>
      </c>
      <c r="J302" s="61"/>
      <c r="K302" s="61"/>
      <c r="L302" s="61"/>
      <c r="M302" s="61"/>
      <c r="N302" s="47" t="str">
        <f t="shared" si="18"/>
        <v/>
      </c>
      <c r="O302" s="48" t="str">
        <f>IF(OR(C302="", B302=""), "",
  INDEX(RentTable, MATCH(B302, {0,1,2,3,4}, 0), MATCH(C302, {20,30,40,50,60,70,80}, 1))
)</f>
        <v/>
      </c>
      <c r="P302" s="60"/>
      <c r="Q302" s="48" t="str">
        <f t="shared" si="20"/>
        <v/>
      </c>
      <c r="R302" s="60"/>
      <c r="S302" s="60"/>
      <c r="T302" s="48" t="str">
        <f t="shared" si="17"/>
        <v/>
      </c>
      <c r="U302" s="42" t="str" cm="1">
        <f t="array" ref="U302">_xlfn.IFS(OR(Q302="", T302="", Q302=0, "", T302=0), "", AND(T302&lt;=Q302,D302&lt;=Q302), "Y", OR(T302&gt;Q302,D302&gt;Q302), "N")</f>
        <v/>
      </c>
      <c r="V302" s="62"/>
      <c r="W302" s="63"/>
    </row>
    <row r="303" spans="1:23" x14ac:dyDescent="0.25">
      <c r="A303" s="58"/>
      <c r="B303" s="59"/>
      <c r="C303" s="59"/>
      <c r="D303" s="60"/>
      <c r="E303" s="59"/>
      <c r="F303" s="59"/>
      <c r="G303" s="60"/>
      <c r="H303" s="43" t="str" cm="1">
        <f t="array" ref="H303">IF(OR(F303="", G303=""), "",
  _xlfn.LET(
    _xlpm.rowIndex, MATCH(F303, INDEX(IncomeTable,,1), 0),
    _xlpm.thresholds, INDEX(IncomeTable, _xlpm.rowIndex, 2):INDEX(IncomeTable, _xlpm.rowIndex, 8),
    _xlpm.labels, {20,30,40,50,60,70,80},
    _xlpm.income, G303,
    IF(_xlpm.income &lt; INDEX(_xlpm.thresholds,1), "Below 20%",
      IF(_xlpm.income &gt; INDEX(_xlpm.thresholds,7), "Above 80%",
        INDEX(_xlpm.labels, _xlfn.XLOOKUP(_xlpm.income, _xlpm.thresholds, _xlfn.SEQUENCE(1,7), , -1))
      )
    )
  )
)</f>
        <v/>
      </c>
      <c r="I303" s="42" t="str">
        <f t="shared" si="19"/>
        <v/>
      </c>
      <c r="J303" s="61"/>
      <c r="K303" s="61"/>
      <c r="L303" s="61"/>
      <c r="M303" s="61"/>
      <c r="N303" s="47" t="str">
        <f t="shared" si="18"/>
        <v/>
      </c>
      <c r="O303" s="48" t="str">
        <f>IF(OR(C303="", B303=""), "",
  INDEX(RentTable, MATCH(B303, {0,1,2,3,4}, 0), MATCH(C303, {20,30,40,50,60,70,80}, 1))
)</f>
        <v/>
      </c>
      <c r="P303" s="60"/>
      <c r="Q303" s="48" t="str">
        <f t="shared" si="20"/>
        <v/>
      </c>
      <c r="R303" s="60"/>
      <c r="S303" s="60"/>
      <c r="T303" s="48" t="str">
        <f t="shared" si="17"/>
        <v/>
      </c>
      <c r="U303" s="42" t="str" cm="1">
        <f t="array" ref="U303">_xlfn.IFS(OR(Q303="", T303="", Q303=0, "", T303=0), "", AND(T303&lt;=Q303,D303&lt;=Q303), "Y", OR(T303&gt;Q303,D303&gt;Q303), "N")</f>
        <v/>
      </c>
      <c r="V303" s="62"/>
      <c r="W303" s="63"/>
    </row>
    <row r="304" spans="1:23" x14ac:dyDescent="0.25">
      <c r="A304" s="58"/>
      <c r="B304" s="59"/>
      <c r="C304" s="59"/>
      <c r="D304" s="60"/>
      <c r="E304" s="59"/>
      <c r="F304" s="59"/>
      <c r="G304" s="60"/>
      <c r="H304" s="43" t="str" cm="1">
        <f t="array" ref="H304">IF(OR(F304="", G304=""), "",
  _xlfn.LET(
    _xlpm.rowIndex, MATCH(F304, INDEX(IncomeTable,,1), 0),
    _xlpm.thresholds, INDEX(IncomeTable, _xlpm.rowIndex, 2):INDEX(IncomeTable, _xlpm.rowIndex, 8),
    _xlpm.labels, {20,30,40,50,60,70,80},
    _xlpm.income, G304,
    IF(_xlpm.income &lt; INDEX(_xlpm.thresholds,1), "Below 20%",
      IF(_xlpm.income &gt; INDEX(_xlpm.thresholds,7), "Above 80%",
        INDEX(_xlpm.labels, _xlfn.XLOOKUP(_xlpm.income, _xlpm.thresholds, _xlfn.SEQUENCE(1,7), , -1))
      )
    )
  )
)</f>
        <v/>
      </c>
      <c r="I304" s="42" t="str">
        <f t="shared" si="19"/>
        <v/>
      </c>
      <c r="J304" s="61"/>
      <c r="K304" s="61"/>
      <c r="L304" s="61"/>
      <c r="M304" s="61"/>
      <c r="N304" s="47" t="str">
        <f t="shared" si="18"/>
        <v/>
      </c>
      <c r="O304" s="48" t="str">
        <f>IF(OR(C304="", B304=""), "",
  INDEX(RentTable, MATCH(B304, {0,1,2,3,4}, 0), MATCH(C304, {20,30,40,50,60,70,80}, 1))
)</f>
        <v/>
      </c>
      <c r="P304" s="60"/>
      <c r="Q304" s="48" t="str">
        <f t="shared" si="20"/>
        <v/>
      </c>
      <c r="R304" s="60"/>
      <c r="S304" s="60"/>
      <c r="T304" s="48" t="str">
        <f t="shared" si="17"/>
        <v/>
      </c>
      <c r="U304" s="42" t="str" cm="1">
        <f t="array" ref="U304">_xlfn.IFS(OR(Q304="", T304="", Q304=0, "", T304=0), "", AND(T304&lt;=Q304,D304&lt;=Q304), "Y", OR(T304&gt;Q304,D304&gt;Q304), "N")</f>
        <v/>
      </c>
      <c r="V304" s="62"/>
      <c r="W304" s="63"/>
    </row>
    <row r="305" spans="1:23" x14ac:dyDescent="0.25">
      <c r="A305" s="58"/>
      <c r="B305" s="59"/>
      <c r="C305" s="59"/>
      <c r="D305" s="60"/>
      <c r="E305" s="59"/>
      <c r="F305" s="59"/>
      <c r="G305" s="60"/>
      <c r="H305" s="43" t="str" cm="1">
        <f t="array" ref="H305">IF(OR(F305="", G305=""), "",
  _xlfn.LET(
    _xlpm.rowIndex, MATCH(F305, INDEX(IncomeTable,,1), 0),
    _xlpm.thresholds, INDEX(IncomeTable, _xlpm.rowIndex, 2):INDEX(IncomeTable, _xlpm.rowIndex, 8),
    _xlpm.labels, {20,30,40,50,60,70,80},
    _xlpm.income, G305,
    IF(_xlpm.income &lt; INDEX(_xlpm.thresholds,1), "Below 20%",
      IF(_xlpm.income &gt; INDEX(_xlpm.thresholds,7), "Above 80%",
        INDEX(_xlpm.labels, _xlfn.XLOOKUP(_xlpm.income, _xlpm.thresholds, _xlfn.SEQUENCE(1,7), , -1))
      )
    )
  )
)</f>
        <v/>
      </c>
      <c r="I305" s="42" t="str">
        <f t="shared" si="19"/>
        <v/>
      </c>
      <c r="J305" s="61"/>
      <c r="K305" s="61"/>
      <c r="L305" s="61"/>
      <c r="M305" s="61"/>
      <c r="N305" s="47" t="str">
        <f t="shared" si="18"/>
        <v/>
      </c>
      <c r="O305" s="48" t="str">
        <f>IF(OR(C305="", B305=""), "",
  INDEX(RentTable, MATCH(B305, {0,1,2,3,4}, 0), MATCH(C305, {20,30,40,50,60,70,80}, 1))
)</f>
        <v/>
      </c>
      <c r="P305" s="60"/>
      <c r="Q305" s="48" t="str">
        <f t="shared" si="20"/>
        <v/>
      </c>
      <c r="R305" s="60"/>
      <c r="S305" s="60"/>
      <c r="T305" s="48" t="str">
        <f t="shared" si="17"/>
        <v/>
      </c>
      <c r="U305" s="42" t="str" cm="1">
        <f t="array" ref="U305">_xlfn.IFS(OR(Q305="", T305="", Q305=0, "", T305=0), "", AND(T305&lt;=Q305,D305&lt;=Q305), "Y", OR(T305&gt;Q305,D305&gt;Q305), "N")</f>
        <v/>
      </c>
      <c r="V305" s="62"/>
      <c r="W305" s="63"/>
    </row>
    <row r="306" spans="1:23" x14ac:dyDescent="0.25">
      <c r="A306" s="58"/>
      <c r="B306" s="59"/>
      <c r="C306" s="59"/>
      <c r="D306" s="60"/>
      <c r="E306" s="59"/>
      <c r="F306" s="59"/>
      <c r="G306" s="60"/>
      <c r="H306" s="43" t="str" cm="1">
        <f t="array" ref="H306">IF(OR(F306="", G306=""), "",
  _xlfn.LET(
    _xlpm.rowIndex, MATCH(F306, INDEX(IncomeTable,,1), 0),
    _xlpm.thresholds, INDEX(IncomeTable, _xlpm.rowIndex, 2):INDEX(IncomeTable, _xlpm.rowIndex, 8),
    _xlpm.labels, {20,30,40,50,60,70,80},
    _xlpm.income, G306,
    IF(_xlpm.income &lt; INDEX(_xlpm.thresholds,1), "Below 20%",
      IF(_xlpm.income &gt; INDEX(_xlpm.thresholds,7), "Above 80%",
        INDEX(_xlpm.labels, _xlfn.XLOOKUP(_xlpm.income, _xlpm.thresholds, _xlfn.SEQUENCE(1,7), , -1))
      )
    )
  )
)</f>
        <v/>
      </c>
      <c r="I306" s="42" t="str">
        <f t="shared" si="19"/>
        <v/>
      </c>
      <c r="J306" s="61"/>
      <c r="K306" s="61"/>
      <c r="L306" s="61"/>
      <c r="M306" s="61"/>
      <c r="N306" s="47" t="str">
        <f t="shared" si="18"/>
        <v/>
      </c>
      <c r="O306" s="48" t="str">
        <f>IF(OR(C306="", B306=""), "",
  INDEX(RentTable, MATCH(B306, {0,1,2,3,4}, 0), MATCH(C306, {20,30,40,50,60,70,80}, 1))
)</f>
        <v/>
      </c>
      <c r="P306" s="60"/>
      <c r="Q306" s="48" t="str">
        <f t="shared" si="20"/>
        <v/>
      </c>
      <c r="R306" s="60"/>
      <c r="S306" s="60"/>
      <c r="T306" s="48" t="str">
        <f t="shared" si="17"/>
        <v/>
      </c>
      <c r="U306" s="42" t="str" cm="1">
        <f t="array" ref="U306">_xlfn.IFS(OR(Q306="", T306="", Q306=0, "", T306=0), "", AND(T306&lt;=Q306,D306&lt;=Q306), "Y", OR(T306&gt;Q306,D306&gt;Q306), "N")</f>
        <v/>
      </c>
      <c r="V306" s="62"/>
      <c r="W306" s="63"/>
    </row>
    <row r="307" spans="1:23" x14ac:dyDescent="0.25">
      <c r="A307" s="58"/>
      <c r="B307" s="59"/>
      <c r="C307" s="59"/>
      <c r="D307" s="60"/>
      <c r="E307" s="59"/>
      <c r="F307" s="59"/>
      <c r="G307" s="60"/>
      <c r="H307" s="43" t="str" cm="1">
        <f t="array" ref="H307">IF(OR(F307="", G307=""), "",
  _xlfn.LET(
    _xlpm.rowIndex, MATCH(F307, INDEX(IncomeTable,,1), 0),
    _xlpm.thresholds, INDEX(IncomeTable, _xlpm.rowIndex, 2):INDEX(IncomeTable, _xlpm.rowIndex, 8),
    _xlpm.labels, {20,30,40,50,60,70,80},
    _xlpm.income, G307,
    IF(_xlpm.income &lt; INDEX(_xlpm.thresholds,1), "Below 20%",
      IF(_xlpm.income &gt; INDEX(_xlpm.thresholds,7), "Above 80%",
        INDEX(_xlpm.labels, _xlfn.XLOOKUP(_xlpm.income, _xlpm.thresholds, _xlfn.SEQUENCE(1,7), , -1))
      )
    )
  )
)</f>
        <v/>
      </c>
      <c r="I307" s="42" t="str">
        <f t="shared" si="19"/>
        <v/>
      </c>
      <c r="J307" s="61"/>
      <c r="K307" s="61"/>
      <c r="L307" s="61"/>
      <c r="M307" s="61"/>
      <c r="N307" s="47" t="str">
        <f t="shared" si="18"/>
        <v/>
      </c>
      <c r="O307" s="48" t="str">
        <f>IF(OR(C307="", B307=""), "",
  INDEX(RentTable, MATCH(B307, {0,1,2,3,4}, 0), MATCH(C307, {20,30,40,50,60,70,80}, 1))
)</f>
        <v/>
      </c>
      <c r="P307" s="60"/>
      <c r="Q307" s="48" t="str">
        <f t="shared" si="20"/>
        <v/>
      </c>
      <c r="R307" s="60"/>
      <c r="S307" s="60"/>
      <c r="T307" s="48" t="str">
        <f t="shared" si="17"/>
        <v/>
      </c>
      <c r="U307" s="42" t="str" cm="1">
        <f t="array" ref="U307">_xlfn.IFS(OR(Q307="", T307="", Q307=0, "", T307=0), "", AND(T307&lt;=Q307,D307&lt;=Q307), "Y", OR(T307&gt;Q307,D307&gt;Q307), "N")</f>
        <v/>
      </c>
      <c r="V307" s="62"/>
      <c r="W307" s="63"/>
    </row>
    <row r="308" spans="1:23" x14ac:dyDescent="0.25">
      <c r="A308" s="58"/>
      <c r="B308" s="59"/>
      <c r="C308" s="59"/>
      <c r="D308" s="60"/>
      <c r="E308" s="59"/>
      <c r="F308" s="59"/>
      <c r="G308" s="60"/>
      <c r="H308" s="43" t="str" cm="1">
        <f t="array" ref="H308">IF(OR(F308="", G308=""), "",
  _xlfn.LET(
    _xlpm.rowIndex, MATCH(F308, INDEX(IncomeTable,,1), 0),
    _xlpm.thresholds, INDEX(IncomeTable, _xlpm.rowIndex, 2):INDEX(IncomeTable, _xlpm.rowIndex, 8),
    _xlpm.labels, {20,30,40,50,60,70,80},
    _xlpm.income, G308,
    IF(_xlpm.income &lt; INDEX(_xlpm.thresholds,1), "Below 20%",
      IF(_xlpm.income &gt; INDEX(_xlpm.thresholds,7), "Above 80%",
        INDEX(_xlpm.labels, _xlfn.XLOOKUP(_xlpm.income, _xlpm.thresholds, _xlfn.SEQUENCE(1,7), , -1))
      )
    )
  )
)</f>
        <v/>
      </c>
      <c r="I308" s="42" t="str">
        <f t="shared" si="19"/>
        <v/>
      </c>
      <c r="J308" s="61"/>
      <c r="K308" s="61"/>
      <c r="L308" s="61"/>
      <c r="M308" s="61"/>
      <c r="N308" s="47" t="str">
        <f t="shared" si="18"/>
        <v/>
      </c>
      <c r="O308" s="48" t="str">
        <f>IF(OR(C308="", B308=""), "",
  INDEX(RentTable, MATCH(B308, {0,1,2,3,4}, 0), MATCH(C308, {20,30,40,50,60,70,80}, 1))
)</f>
        <v/>
      </c>
      <c r="P308" s="60"/>
      <c r="Q308" s="48" t="str">
        <f t="shared" si="20"/>
        <v/>
      </c>
      <c r="R308" s="60"/>
      <c r="S308" s="60"/>
      <c r="T308" s="48" t="str">
        <f t="shared" si="17"/>
        <v/>
      </c>
      <c r="U308" s="42" t="str" cm="1">
        <f t="array" ref="U308">_xlfn.IFS(OR(Q308="", T308="", Q308=0, "", T308=0), "", AND(T308&lt;=Q308,D308&lt;=Q308), "Y", OR(T308&gt;Q308,D308&gt;Q308), "N")</f>
        <v/>
      </c>
      <c r="V308" s="62"/>
      <c r="W308" s="63"/>
    </row>
    <row r="309" spans="1:23" x14ac:dyDescent="0.25">
      <c r="A309" s="58"/>
      <c r="B309" s="59"/>
      <c r="C309" s="59"/>
      <c r="D309" s="60"/>
      <c r="E309" s="59"/>
      <c r="F309" s="59"/>
      <c r="G309" s="60"/>
      <c r="H309" s="43" t="str" cm="1">
        <f t="array" ref="H309">IF(OR(F309="", G309=""), "",
  _xlfn.LET(
    _xlpm.rowIndex, MATCH(F309, INDEX(IncomeTable,,1), 0),
    _xlpm.thresholds, INDEX(IncomeTable, _xlpm.rowIndex, 2):INDEX(IncomeTable, _xlpm.rowIndex, 8),
    _xlpm.labels, {20,30,40,50,60,70,80},
    _xlpm.income, G309,
    IF(_xlpm.income &lt; INDEX(_xlpm.thresholds,1), "Below 20%",
      IF(_xlpm.income &gt; INDEX(_xlpm.thresholds,7), "Above 80%",
        INDEX(_xlpm.labels, _xlfn.XLOOKUP(_xlpm.income, _xlpm.thresholds, _xlfn.SEQUENCE(1,7), , -1))
      )
    )
  )
)</f>
        <v/>
      </c>
      <c r="I309" s="42" t="str">
        <f t="shared" si="19"/>
        <v/>
      </c>
      <c r="J309" s="61"/>
      <c r="K309" s="61"/>
      <c r="L309" s="61"/>
      <c r="M309" s="61"/>
      <c r="N309" s="47" t="str">
        <f t="shared" si="18"/>
        <v/>
      </c>
      <c r="O309" s="48" t="str">
        <f>IF(OR(C309="", B309=""), "",
  INDEX(RentTable, MATCH(B309, {0,1,2,3,4}, 0), MATCH(C309, {20,30,40,50,60,70,80}, 1))
)</f>
        <v/>
      </c>
      <c r="P309" s="60"/>
      <c r="Q309" s="48" t="str">
        <f t="shared" si="20"/>
        <v/>
      </c>
      <c r="R309" s="60"/>
      <c r="S309" s="60"/>
      <c r="T309" s="48" t="str">
        <f t="shared" si="17"/>
        <v/>
      </c>
      <c r="U309" s="42" t="str" cm="1">
        <f t="array" ref="U309">_xlfn.IFS(OR(Q309="", T309="", Q309=0, "", T309=0), "", AND(T309&lt;=Q309,D309&lt;=Q309), "Y", OR(T309&gt;Q309,D309&gt;Q309), "N")</f>
        <v/>
      </c>
      <c r="V309" s="62"/>
      <c r="W309" s="63"/>
    </row>
    <row r="310" spans="1:23" x14ac:dyDescent="0.25">
      <c r="A310" s="58"/>
      <c r="B310" s="59"/>
      <c r="C310" s="59"/>
      <c r="D310" s="60"/>
      <c r="E310" s="59"/>
      <c r="F310" s="59"/>
      <c r="G310" s="60"/>
      <c r="H310" s="43" t="str" cm="1">
        <f t="array" ref="H310">IF(OR(F310="", G310=""), "",
  _xlfn.LET(
    _xlpm.rowIndex, MATCH(F310, INDEX(IncomeTable,,1), 0),
    _xlpm.thresholds, INDEX(IncomeTable, _xlpm.rowIndex, 2):INDEX(IncomeTable, _xlpm.rowIndex, 8),
    _xlpm.labels, {20,30,40,50,60,70,80},
    _xlpm.income, G310,
    IF(_xlpm.income &lt; INDEX(_xlpm.thresholds,1), "Below 20%",
      IF(_xlpm.income &gt; INDEX(_xlpm.thresholds,7), "Above 80%",
        INDEX(_xlpm.labels, _xlfn.XLOOKUP(_xlpm.income, _xlpm.thresholds, _xlfn.SEQUENCE(1,7), , -1))
      )
    )
  )
)</f>
        <v/>
      </c>
      <c r="I310" s="42" t="str">
        <f t="shared" si="19"/>
        <v/>
      </c>
      <c r="J310" s="61"/>
      <c r="K310" s="61"/>
      <c r="L310" s="61"/>
      <c r="M310" s="61"/>
      <c r="N310" s="47" t="str">
        <f t="shared" si="18"/>
        <v/>
      </c>
      <c r="O310" s="48" t="str">
        <f>IF(OR(C310="", B310=""), "",
  INDEX(RentTable, MATCH(B310, {0,1,2,3,4}, 0), MATCH(C310, {20,30,40,50,60,70,80}, 1))
)</f>
        <v/>
      </c>
      <c r="P310" s="60"/>
      <c r="Q310" s="48" t="str">
        <f t="shared" si="20"/>
        <v/>
      </c>
      <c r="R310" s="60"/>
      <c r="S310" s="60"/>
      <c r="T310" s="48" t="str">
        <f t="shared" si="17"/>
        <v/>
      </c>
      <c r="U310" s="42" t="str" cm="1">
        <f t="array" ref="U310">_xlfn.IFS(OR(Q310="", T310="", Q310=0, "", T310=0), "", AND(T310&lt;=Q310,D310&lt;=Q310), "Y", OR(T310&gt;Q310,D310&gt;Q310), "N")</f>
        <v/>
      </c>
      <c r="V310" s="62"/>
      <c r="W310" s="63"/>
    </row>
    <row r="311" spans="1:23" x14ac:dyDescent="0.25">
      <c r="A311" s="58"/>
      <c r="B311" s="59"/>
      <c r="C311" s="59"/>
      <c r="D311" s="60"/>
      <c r="E311" s="59"/>
      <c r="F311" s="59"/>
      <c r="G311" s="60"/>
      <c r="H311" s="43" t="str" cm="1">
        <f t="array" ref="H311">IF(OR(F311="", G311=""), "",
  _xlfn.LET(
    _xlpm.rowIndex, MATCH(F311, INDEX(IncomeTable,,1), 0),
    _xlpm.thresholds, INDEX(IncomeTable, _xlpm.rowIndex, 2):INDEX(IncomeTable, _xlpm.rowIndex, 8),
    _xlpm.labels, {20,30,40,50,60,70,80},
    _xlpm.income, G311,
    IF(_xlpm.income &lt; INDEX(_xlpm.thresholds,1), "Below 20%",
      IF(_xlpm.income &gt; INDEX(_xlpm.thresholds,7), "Above 80%",
        INDEX(_xlpm.labels, _xlfn.XLOOKUP(_xlpm.income, _xlpm.thresholds, _xlfn.SEQUENCE(1,7), , -1))
      )
    )
  )
)</f>
        <v/>
      </c>
      <c r="I311" s="42" t="str">
        <f t="shared" si="19"/>
        <v/>
      </c>
      <c r="J311" s="61"/>
      <c r="K311" s="61"/>
      <c r="L311" s="61"/>
      <c r="M311" s="61"/>
      <c r="N311" s="47" t="str">
        <f t="shared" si="18"/>
        <v/>
      </c>
      <c r="O311" s="48" t="str">
        <f>IF(OR(C311="", B311=""), "",
  INDEX(RentTable, MATCH(B311, {0,1,2,3,4}, 0), MATCH(C311, {20,30,40,50,60,70,80}, 1))
)</f>
        <v/>
      </c>
      <c r="P311" s="60"/>
      <c r="Q311" s="48" t="str">
        <f t="shared" si="20"/>
        <v/>
      </c>
      <c r="R311" s="60"/>
      <c r="S311" s="60"/>
      <c r="T311" s="48" t="str">
        <f t="shared" si="17"/>
        <v/>
      </c>
      <c r="U311" s="42" t="str" cm="1">
        <f t="array" ref="U311">_xlfn.IFS(OR(Q311="", T311="", Q311=0, "", T311=0), "", AND(T311&lt;=Q311,D311&lt;=Q311), "Y", OR(T311&gt;Q311,D311&gt;Q311), "N")</f>
        <v/>
      </c>
      <c r="V311" s="62"/>
      <c r="W311" s="63"/>
    </row>
    <row r="312" spans="1:23" x14ac:dyDescent="0.25">
      <c r="A312" s="58"/>
      <c r="B312" s="59"/>
      <c r="C312" s="59"/>
      <c r="D312" s="60"/>
      <c r="E312" s="59"/>
      <c r="F312" s="59"/>
      <c r="G312" s="60"/>
      <c r="H312" s="43" t="str" cm="1">
        <f t="array" ref="H312">IF(OR(F312="", G312=""), "",
  _xlfn.LET(
    _xlpm.rowIndex, MATCH(F312, INDEX(IncomeTable,,1), 0),
    _xlpm.thresholds, INDEX(IncomeTable, _xlpm.rowIndex, 2):INDEX(IncomeTable, _xlpm.rowIndex, 8),
    _xlpm.labels, {20,30,40,50,60,70,80},
    _xlpm.income, G312,
    IF(_xlpm.income &lt; INDEX(_xlpm.thresholds,1), "Below 20%",
      IF(_xlpm.income &gt; INDEX(_xlpm.thresholds,7), "Above 80%",
        INDEX(_xlpm.labels, _xlfn.XLOOKUP(_xlpm.income, _xlpm.thresholds, _xlfn.SEQUENCE(1,7), , -1))
      )
    )
  )
)</f>
        <v/>
      </c>
      <c r="I312" s="42" t="str">
        <f t="shared" si="19"/>
        <v/>
      </c>
      <c r="J312" s="61"/>
      <c r="K312" s="61"/>
      <c r="L312" s="61"/>
      <c r="M312" s="61"/>
      <c r="N312" s="47" t="str">
        <f t="shared" si="18"/>
        <v/>
      </c>
      <c r="O312" s="48" t="str">
        <f>IF(OR(C312="", B312=""), "",
  INDEX(RentTable, MATCH(B312, {0,1,2,3,4}, 0), MATCH(C312, {20,30,40,50,60,70,80}, 1))
)</f>
        <v/>
      </c>
      <c r="P312" s="60"/>
      <c r="Q312" s="48" t="str">
        <f t="shared" si="20"/>
        <v/>
      </c>
      <c r="R312" s="60"/>
      <c r="S312" s="60"/>
      <c r="T312" s="48" t="str">
        <f t="shared" si="17"/>
        <v/>
      </c>
      <c r="U312" s="42" t="str" cm="1">
        <f t="array" ref="U312">_xlfn.IFS(OR(Q312="", T312="", Q312=0, "", T312=0), "", AND(T312&lt;=Q312,D312&lt;=Q312), "Y", OR(T312&gt;Q312,D312&gt;Q312), "N")</f>
        <v/>
      </c>
      <c r="V312" s="62"/>
      <c r="W312" s="63"/>
    </row>
    <row r="313" spans="1:23" x14ac:dyDescent="0.25">
      <c r="A313" s="58"/>
      <c r="B313" s="59"/>
      <c r="C313" s="59"/>
      <c r="D313" s="60"/>
      <c r="E313" s="59"/>
      <c r="F313" s="59"/>
      <c r="G313" s="60"/>
      <c r="H313" s="43" t="str" cm="1">
        <f t="array" ref="H313">IF(OR(F313="", G313=""), "",
  _xlfn.LET(
    _xlpm.rowIndex, MATCH(F313, INDEX(IncomeTable,,1), 0),
    _xlpm.thresholds, INDEX(IncomeTable, _xlpm.rowIndex, 2):INDEX(IncomeTable, _xlpm.rowIndex, 8),
    _xlpm.labels, {20,30,40,50,60,70,80},
    _xlpm.income, G313,
    IF(_xlpm.income &lt; INDEX(_xlpm.thresholds,1), "Below 20%",
      IF(_xlpm.income &gt; INDEX(_xlpm.thresholds,7), "Above 80%",
        INDEX(_xlpm.labels, _xlfn.XLOOKUP(_xlpm.income, _xlpm.thresholds, _xlfn.SEQUENCE(1,7), , -1))
      )
    )
  )
)</f>
        <v/>
      </c>
      <c r="I313" s="42" t="str">
        <f t="shared" si="19"/>
        <v/>
      </c>
      <c r="J313" s="61"/>
      <c r="K313" s="61"/>
      <c r="L313" s="61"/>
      <c r="M313" s="61"/>
      <c r="N313" s="47" t="str">
        <f t="shared" si="18"/>
        <v/>
      </c>
      <c r="O313" s="48" t="str">
        <f>IF(OR(C313="", B313=""), "",
  INDEX(RentTable, MATCH(B313, {0,1,2,3,4}, 0), MATCH(C313, {20,30,40,50,60,70,80}, 1))
)</f>
        <v/>
      </c>
      <c r="P313" s="60"/>
      <c r="Q313" s="48" t="str">
        <f t="shared" si="20"/>
        <v/>
      </c>
      <c r="R313" s="60"/>
      <c r="S313" s="60"/>
      <c r="T313" s="48" t="str">
        <f t="shared" si="17"/>
        <v/>
      </c>
      <c r="U313" s="42" t="str" cm="1">
        <f t="array" ref="U313">_xlfn.IFS(OR(Q313="", T313="", Q313=0, "", T313=0), "", AND(T313&lt;=Q313,D313&lt;=Q313), "Y", OR(T313&gt;Q313,D313&gt;Q313), "N")</f>
        <v/>
      </c>
      <c r="V313" s="62"/>
      <c r="W313" s="63"/>
    </row>
    <row r="314" spans="1:23" x14ac:dyDescent="0.25">
      <c r="A314" s="58"/>
      <c r="B314" s="59"/>
      <c r="C314" s="59"/>
      <c r="D314" s="60"/>
      <c r="E314" s="59"/>
      <c r="F314" s="59"/>
      <c r="G314" s="60"/>
      <c r="H314" s="43" t="str" cm="1">
        <f t="array" ref="H314">IF(OR(F314="", G314=""), "",
  _xlfn.LET(
    _xlpm.rowIndex, MATCH(F314, INDEX(IncomeTable,,1), 0),
    _xlpm.thresholds, INDEX(IncomeTable, _xlpm.rowIndex, 2):INDEX(IncomeTable, _xlpm.rowIndex, 8),
    _xlpm.labels, {20,30,40,50,60,70,80},
    _xlpm.income, G314,
    IF(_xlpm.income &lt; INDEX(_xlpm.thresholds,1), "Below 20%",
      IF(_xlpm.income &gt; INDEX(_xlpm.thresholds,7), "Above 80%",
        INDEX(_xlpm.labels, _xlfn.XLOOKUP(_xlpm.income, _xlpm.thresholds, _xlfn.SEQUENCE(1,7), , -1))
      )
    )
  )
)</f>
        <v/>
      </c>
      <c r="I314" s="42" t="str">
        <f t="shared" si="19"/>
        <v/>
      </c>
      <c r="J314" s="61"/>
      <c r="K314" s="61"/>
      <c r="L314" s="61"/>
      <c r="M314" s="61"/>
      <c r="N314" s="47" t="str">
        <f t="shared" si="18"/>
        <v/>
      </c>
      <c r="O314" s="48" t="str">
        <f>IF(OR(C314="", B314=""), "",
  INDEX(RentTable, MATCH(B314, {0,1,2,3,4}, 0), MATCH(C314, {20,30,40,50,60,70,80}, 1))
)</f>
        <v/>
      </c>
      <c r="P314" s="60"/>
      <c r="Q314" s="48" t="str">
        <f t="shared" si="20"/>
        <v/>
      </c>
      <c r="R314" s="60"/>
      <c r="S314" s="60"/>
      <c r="T314" s="48" t="str">
        <f t="shared" si="17"/>
        <v/>
      </c>
      <c r="U314" s="42" t="str" cm="1">
        <f t="array" ref="U314">_xlfn.IFS(OR(Q314="", T314="", Q314=0, "", T314=0), "", AND(T314&lt;=Q314,D314&lt;=Q314), "Y", OR(T314&gt;Q314,D314&gt;Q314), "N")</f>
        <v/>
      </c>
      <c r="V314" s="62"/>
      <c r="W314" s="63"/>
    </row>
    <row r="315" spans="1:23" x14ac:dyDescent="0.25">
      <c r="A315" s="58"/>
      <c r="B315" s="59"/>
      <c r="C315" s="59"/>
      <c r="D315" s="60"/>
      <c r="E315" s="59"/>
      <c r="F315" s="59"/>
      <c r="G315" s="60"/>
      <c r="H315" s="43" t="str" cm="1">
        <f t="array" ref="H315">IF(OR(F315="", G315=""), "",
  _xlfn.LET(
    _xlpm.rowIndex, MATCH(F315, INDEX(IncomeTable,,1), 0),
    _xlpm.thresholds, INDEX(IncomeTable, _xlpm.rowIndex, 2):INDEX(IncomeTable, _xlpm.rowIndex, 8),
    _xlpm.labels, {20,30,40,50,60,70,80},
    _xlpm.income, G315,
    IF(_xlpm.income &lt; INDEX(_xlpm.thresholds,1), "Below 20%",
      IF(_xlpm.income &gt; INDEX(_xlpm.thresholds,7), "Above 80%",
        INDEX(_xlpm.labels, _xlfn.XLOOKUP(_xlpm.income, _xlpm.thresholds, _xlfn.SEQUENCE(1,7), , -1))
      )
    )
  )
)</f>
        <v/>
      </c>
      <c r="I315" s="42" t="str">
        <f t="shared" si="19"/>
        <v/>
      </c>
      <c r="J315" s="61"/>
      <c r="K315" s="61"/>
      <c r="L315" s="61"/>
      <c r="M315" s="61"/>
      <c r="N315" s="47" t="str">
        <f t="shared" si="18"/>
        <v/>
      </c>
      <c r="O315" s="48" t="str">
        <f>IF(OR(C315="", B315=""), "",
  INDEX(RentTable, MATCH(B315, {0,1,2,3,4}, 0), MATCH(C315, {20,30,40,50,60,70,80}, 1))
)</f>
        <v/>
      </c>
      <c r="P315" s="60"/>
      <c r="Q315" s="48" t="str">
        <f t="shared" si="20"/>
        <v/>
      </c>
      <c r="R315" s="60"/>
      <c r="S315" s="60"/>
      <c r="T315" s="48" t="str">
        <f t="shared" si="17"/>
        <v/>
      </c>
      <c r="U315" s="42" t="str" cm="1">
        <f t="array" ref="U315">_xlfn.IFS(OR(Q315="", T315="", Q315=0, "", T315=0), "", AND(T315&lt;=Q315,D315&lt;=Q315), "Y", OR(T315&gt;Q315,D315&gt;Q315), "N")</f>
        <v/>
      </c>
      <c r="V315" s="62"/>
      <c r="W315" s="63"/>
    </row>
    <row r="316" spans="1:23" x14ac:dyDescent="0.25">
      <c r="A316" s="58"/>
      <c r="B316" s="59"/>
      <c r="C316" s="59"/>
      <c r="D316" s="60"/>
      <c r="E316" s="59"/>
      <c r="F316" s="59"/>
      <c r="G316" s="60"/>
      <c r="H316" s="43" t="str" cm="1">
        <f t="array" ref="H316">IF(OR(F316="", G316=""), "",
  _xlfn.LET(
    _xlpm.rowIndex, MATCH(F316, INDEX(IncomeTable,,1), 0),
    _xlpm.thresholds, INDEX(IncomeTable, _xlpm.rowIndex, 2):INDEX(IncomeTable, _xlpm.rowIndex, 8),
    _xlpm.labels, {20,30,40,50,60,70,80},
    _xlpm.income, G316,
    IF(_xlpm.income &lt; INDEX(_xlpm.thresholds,1), "Below 20%",
      IF(_xlpm.income &gt; INDEX(_xlpm.thresholds,7), "Above 80%",
        INDEX(_xlpm.labels, _xlfn.XLOOKUP(_xlpm.income, _xlpm.thresholds, _xlfn.SEQUENCE(1,7), , -1))
      )
    )
  )
)</f>
        <v/>
      </c>
      <c r="I316" s="42" t="str">
        <f t="shared" si="19"/>
        <v/>
      </c>
      <c r="J316" s="61"/>
      <c r="K316" s="61"/>
      <c r="L316" s="61"/>
      <c r="M316" s="61"/>
      <c r="N316" s="47" t="str">
        <f t="shared" si="18"/>
        <v/>
      </c>
      <c r="O316" s="48" t="str">
        <f>IF(OR(C316="", B316=""), "",
  INDEX(RentTable, MATCH(B316, {0,1,2,3,4}, 0), MATCH(C316, {20,30,40,50,60,70,80}, 1))
)</f>
        <v/>
      </c>
      <c r="P316" s="60"/>
      <c r="Q316" s="48" t="str">
        <f t="shared" si="20"/>
        <v/>
      </c>
      <c r="R316" s="60"/>
      <c r="S316" s="60"/>
      <c r="T316" s="48" t="str">
        <f t="shared" si="17"/>
        <v/>
      </c>
      <c r="U316" s="42" t="str" cm="1">
        <f t="array" ref="U316">_xlfn.IFS(OR(Q316="", T316="", Q316=0, "", T316=0), "", AND(T316&lt;=Q316,D316&lt;=Q316), "Y", OR(T316&gt;Q316,D316&gt;Q316), "N")</f>
        <v/>
      </c>
      <c r="V316" s="62"/>
      <c r="W316" s="63"/>
    </row>
    <row r="317" spans="1:23" x14ac:dyDescent="0.25">
      <c r="A317" s="58"/>
      <c r="B317" s="59"/>
      <c r="C317" s="59"/>
      <c r="D317" s="60"/>
      <c r="E317" s="59"/>
      <c r="F317" s="59"/>
      <c r="G317" s="60"/>
      <c r="H317" s="43" t="str" cm="1">
        <f t="array" ref="H317">IF(OR(F317="", G317=""), "",
  _xlfn.LET(
    _xlpm.rowIndex, MATCH(F317, INDEX(IncomeTable,,1), 0),
    _xlpm.thresholds, INDEX(IncomeTable, _xlpm.rowIndex, 2):INDEX(IncomeTable, _xlpm.rowIndex, 8),
    _xlpm.labels, {20,30,40,50,60,70,80},
    _xlpm.income, G317,
    IF(_xlpm.income &lt; INDEX(_xlpm.thresholds,1), "Below 20%",
      IF(_xlpm.income &gt; INDEX(_xlpm.thresholds,7), "Above 80%",
        INDEX(_xlpm.labels, _xlfn.XLOOKUP(_xlpm.income, _xlpm.thresholds, _xlfn.SEQUENCE(1,7), , -1))
      )
    )
  )
)</f>
        <v/>
      </c>
      <c r="I317" s="42" t="str">
        <f t="shared" si="19"/>
        <v/>
      </c>
      <c r="J317" s="61"/>
      <c r="K317" s="61"/>
      <c r="L317" s="61"/>
      <c r="M317" s="61"/>
      <c r="N317" s="47" t="str">
        <f t="shared" si="18"/>
        <v/>
      </c>
      <c r="O317" s="48" t="str">
        <f>IF(OR(C317="", B317=""), "",
  INDEX(RentTable, MATCH(B317, {0,1,2,3,4}, 0), MATCH(C317, {20,30,40,50,60,70,80}, 1))
)</f>
        <v/>
      </c>
      <c r="P317" s="60"/>
      <c r="Q317" s="48" t="str">
        <f t="shared" si="20"/>
        <v/>
      </c>
      <c r="R317" s="60"/>
      <c r="S317" s="60"/>
      <c r="T317" s="48" t="str">
        <f t="shared" si="17"/>
        <v/>
      </c>
      <c r="U317" s="42" t="str" cm="1">
        <f t="array" ref="U317">_xlfn.IFS(OR(Q317="", T317="", Q317=0, "", T317=0), "", AND(T317&lt;=Q317,D317&lt;=Q317), "Y", OR(T317&gt;Q317,D317&gt;Q317), "N")</f>
        <v/>
      </c>
      <c r="V317" s="62"/>
      <c r="W317" s="63"/>
    </row>
    <row r="318" spans="1:23" x14ac:dyDescent="0.25">
      <c r="A318" s="58"/>
      <c r="B318" s="59"/>
      <c r="C318" s="59"/>
      <c r="D318" s="60"/>
      <c r="E318" s="59"/>
      <c r="F318" s="59"/>
      <c r="G318" s="60"/>
      <c r="H318" s="43" t="str" cm="1">
        <f t="array" ref="H318">IF(OR(F318="", G318=""), "",
  _xlfn.LET(
    _xlpm.rowIndex, MATCH(F318, INDEX(IncomeTable,,1), 0),
    _xlpm.thresholds, INDEX(IncomeTable, _xlpm.rowIndex, 2):INDEX(IncomeTable, _xlpm.rowIndex, 8),
    _xlpm.labels, {20,30,40,50,60,70,80},
    _xlpm.income, G318,
    IF(_xlpm.income &lt; INDEX(_xlpm.thresholds,1), "Below 20%",
      IF(_xlpm.income &gt; INDEX(_xlpm.thresholds,7), "Above 80%",
        INDEX(_xlpm.labels, _xlfn.XLOOKUP(_xlpm.income, _xlpm.thresholds, _xlfn.SEQUENCE(1,7), , -1))
      )
    )
  )
)</f>
        <v/>
      </c>
      <c r="I318" s="42" t="str">
        <f t="shared" si="19"/>
        <v/>
      </c>
      <c r="J318" s="61"/>
      <c r="K318" s="61"/>
      <c r="L318" s="61"/>
      <c r="M318" s="61"/>
      <c r="N318" s="47" t="str">
        <f t="shared" si="18"/>
        <v/>
      </c>
      <c r="O318" s="48" t="str">
        <f>IF(OR(C318="", B318=""), "",
  INDEX(RentTable, MATCH(B318, {0,1,2,3,4}, 0), MATCH(C318, {20,30,40,50,60,70,80}, 1))
)</f>
        <v/>
      </c>
      <c r="P318" s="60"/>
      <c r="Q318" s="48" t="str">
        <f t="shared" si="20"/>
        <v/>
      </c>
      <c r="R318" s="60"/>
      <c r="S318" s="60"/>
      <c r="T318" s="48" t="str">
        <f t="shared" si="17"/>
        <v/>
      </c>
      <c r="U318" s="42" t="str" cm="1">
        <f t="array" ref="U318">_xlfn.IFS(OR(Q318="", T318="", Q318=0, "", T318=0), "", AND(T318&lt;=Q318,D318&lt;=Q318), "Y", OR(T318&gt;Q318,D318&gt;Q318), "N")</f>
        <v/>
      </c>
      <c r="V318" s="62"/>
      <c r="W318" s="63"/>
    </row>
    <row r="319" spans="1:23" x14ac:dyDescent="0.25">
      <c r="A319" s="58"/>
      <c r="B319" s="59"/>
      <c r="C319" s="59"/>
      <c r="D319" s="60"/>
      <c r="E319" s="59"/>
      <c r="F319" s="59"/>
      <c r="G319" s="60"/>
      <c r="H319" s="43" t="str" cm="1">
        <f t="array" ref="H319">IF(OR(F319="", G319=""), "",
  _xlfn.LET(
    _xlpm.rowIndex, MATCH(F319, INDEX(IncomeTable,,1), 0),
    _xlpm.thresholds, INDEX(IncomeTable, _xlpm.rowIndex, 2):INDEX(IncomeTable, _xlpm.rowIndex, 8),
    _xlpm.labels, {20,30,40,50,60,70,80},
    _xlpm.income, G319,
    IF(_xlpm.income &lt; INDEX(_xlpm.thresholds,1), "Below 20%",
      IF(_xlpm.income &gt; INDEX(_xlpm.thresholds,7), "Above 80%",
        INDEX(_xlpm.labels, _xlfn.XLOOKUP(_xlpm.income, _xlpm.thresholds, _xlfn.SEQUENCE(1,7), , -1))
      )
    )
  )
)</f>
        <v/>
      </c>
      <c r="I319" s="42" t="str">
        <f t="shared" si="19"/>
        <v/>
      </c>
      <c r="J319" s="61"/>
      <c r="K319" s="61"/>
      <c r="L319" s="61"/>
      <c r="M319" s="61"/>
      <c r="N319" s="47" t="str">
        <f t="shared" si="18"/>
        <v/>
      </c>
      <c r="O319" s="48" t="str">
        <f>IF(OR(C319="", B319=""), "",
  INDEX(RentTable, MATCH(B319, {0,1,2,3,4}, 0), MATCH(C319, {20,30,40,50,60,70,80}, 1))
)</f>
        <v/>
      </c>
      <c r="P319" s="60"/>
      <c r="Q319" s="48" t="str">
        <f t="shared" si="20"/>
        <v/>
      </c>
      <c r="R319" s="60"/>
      <c r="S319" s="60"/>
      <c r="T319" s="48" t="str">
        <f t="shared" si="17"/>
        <v/>
      </c>
      <c r="U319" s="42" t="str" cm="1">
        <f t="array" ref="U319">_xlfn.IFS(OR(Q319="", T319="", Q319=0, "", T319=0), "", AND(T319&lt;=Q319,D319&lt;=Q319), "Y", OR(T319&gt;Q319,D319&gt;Q319), "N")</f>
        <v/>
      </c>
      <c r="V319" s="62"/>
      <c r="W319" s="63"/>
    </row>
    <row r="320" spans="1:23" x14ac:dyDescent="0.25">
      <c r="A320" s="58"/>
      <c r="B320" s="59"/>
      <c r="C320" s="59"/>
      <c r="D320" s="60"/>
      <c r="E320" s="59"/>
      <c r="F320" s="59"/>
      <c r="G320" s="60"/>
      <c r="H320" s="43" t="str" cm="1">
        <f t="array" ref="H320">IF(OR(F320="", G320=""), "",
  _xlfn.LET(
    _xlpm.rowIndex, MATCH(F320, INDEX(IncomeTable,,1), 0),
    _xlpm.thresholds, INDEX(IncomeTable, _xlpm.rowIndex, 2):INDEX(IncomeTable, _xlpm.rowIndex, 8),
    _xlpm.labels, {20,30,40,50,60,70,80},
    _xlpm.income, G320,
    IF(_xlpm.income &lt; INDEX(_xlpm.thresholds,1), "Below 20%",
      IF(_xlpm.income &gt; INDEX(_xlpm.thresholds,7), "Above 80%",
        INDEX(_xlpm.labels, _xlfn.XLOOKUP(_xlpm.income, _xlpm.thresholds, _xlfn.SEQUENCE(1,7), , -1))
      )
    )
  )
)</f>
        <v/>
      </c>
      <c r="I320" s="42" t="str">
        <f t="shared" si="19"/>
        <v/>
      </c>
      <c r="J320" s="61"/>
      <c r="K320" s="61"/>
      <c r="L320" s="61"/>
      <c r="M320" s="61"/>
      <c r="N320" s="47" t="str">
        <f t="shared" si="18"/>
        <v/>
      </c>
      <c r="O320" s="48" t="str">
        <f>IF(OR(C320="", B320=""), "",
  INDEX(RentTable, MATCH(B320, {0,1,2,3,4}, 0), MATCH(C320, {20,30,40,50,60,70,80}, 1))
)</f>
        <v/>
      </c>
      <c r="P320" s="60"/>
      <c r="Q320" s="48" t="str">
        <f t="shared" si="20"/>
        <v/>
      </c>
      <c r="R320" s="60"/>
      <c r="S320" s="60"/>
      <c r="T320" s="48" t="str">
        <f t="shared" si="17"/>
        <v/>
      </c>
      <c r="U320" s="42" t="str" cm="1">
        <f t="array" ref="U320">_xlfn.IFS(OR(Q320="", T320="", Q320=0, "", T320=0), "", AND(T320&lt;=Q320,D320&lt;=Q320), "Y", OR(T320&gt;Q320,D320&gt;Q320), "N")</f>
        <v/>
      </c>
      <c r="V320" s="62"/>
      <c r="W320" s="63"/>
    </row>
    <row r="321" spans="1:23" x14ac:dyDescent="0.25">
      <c r="A321" s="58"/>
      <c r="B321" s="59"/>
      <c r="C321" s="59"/>
      <c r="D321" s="60"/>
      <c r="E321" s="59"/>
      <c r="F321" s="59"/>
      <c r="G321" s="60"/>
      <c r="H321" s="43" t="str" cm="1">
        <f t="array" ref="H321">IF(OR(F321="", G321=""), "",
  _xlfn.LET(
    _xlpm.rowIndex, MATCH(F321, INDEX(IncomeTable,,1), 0),
    _xlpm.thresholds, INDEX(IncomeTable, _xlpm.rowIndex, 2):INDEX(IncomeTable, _xlpm.rowIndex, 8),
    _xlpm.labels, {20,30,40,50,60,70,80},
    _xlpm.income, G321,
    IF(_xlpm.income &lt; INDEX(_xlpm.thresholds,1), "Below 20%",
      IF(_xlpm.income &gt; INDEX(_xlpm.thresholds,7), "Above 80%",
        INDEX(_xlpm.labels, _xlfn.XLOOKUP(_xlpm.income, _xlpm.thresholds, _xlfn.SEQUENCE(1,7), , -1))
      )
    )
  )
)</f>
        <v/>
      </c>
      <c r="I321" s="42" t="str">
        <f t="shared" si="19"/>
        <v/>
      </c>
      <c r="J321" s="61"/>
      <c r="K321" s="61"/>
      <c r="L321" s="61"/>
      <c r="M321" s="61"/>
      <c r="N321" s="47" t="str">
        <f t="shared" si="18"/>
        <v/>
      </c>
      <c r="O321" s="48" t="str">
        <f>IF(OR(C321="", B321=""), "",
  INDEX(RentTable, MATCH(B321, {0,1,2,3,4}, 0), MATCH(C321, {20,30,40,50,60,70,80}, 1))
)</f>
        <v/>
      </c>
      <c r="P321" s="60"/>
      <c r="Q321" s="48" t="str">
        <f t="shared" si="20"/>
        <v/>
      </c>
      <c r="R321" s="60"/>
      <c r="S321" s="60"/>
      <c r="T321" s="48" t="str">
        <f t="shared" si="17"/>
        <v/>
      </c>
      <c r="U321" s="42" t="str" cm="1">
        <f t="array" ref="U321">_xlfn.IFS(OR(Q321="", T321="", Q321=0, "", T321=0), "", AND(T321&lt;=Q321,D321&lt;=Q321), "Y", OR(T321&gt;Q321,D321&gt;Q321), "N")</f>
        <v/>
      </c>
      <c r="V321" s="62"/>
      <c r="W321" s="63"/>
    </row>
    <row r="322" spans="1:23" x14ac:dyDescent="0.25">
      <c r="A322" s="58"/>
      <c r="B322" s="59"/>
      <c r="C322" s="59"/>
      <c r="D322" s="60"/>
      <c r="E322" s="59"/>
      <c r="F322" s="59"/>
      <c r="G322" s="60"/>
      <c r="H322" s="43" t="str" cm="1">
        <f t="array" ref="H322">IF(OR(F322="", G322=""), "",
  _xlfn.LET(
    _xlpm.rowIndex, MATCH(F322, INDEX(IncomeTable,,1), 0),
    _xlpm.thresholds, INDEX(IncomeTable, _xlpm.rowIndex, 2):INDEX(IncomeTable, _xlpm.rowIndex, 8),
    _xlpm.labels, {20,30,40,50,60,70,80},
    _xlpm.income, G322,
    IF(_xlpm.income &lt; INDEX(_xlpm.thresholds,1), "Below 20%",
      IF(_xlpm.income &gt; INDEX(_xlpm.thresholds,7), "Above 80%",
        INDEX(_xlpm.labels, _xlfn.XLOOKUP(_xlpm.income, _xlpm.thresholds, _xlfn.SEQUENCE(1,7), , -1))
      )
    )
  )
)</f>
        <v/>
      </c>
      <c r="I322" s="42" t="str">
        <f t="shared" si="19"/>
        <v/>
      </c>
      <c r="J322" s="61"/>
      <c r="K322" s="61"/>
      <c r="L322" s="61"/>
      <c r="M322" s="61"/>
      <c r="N322" s="47" t="str">
        <f t="shared" si="18"/>
        <v/>
      </c>
      <c r="O322" s="48" t="str">
        <f>IF(OR(C322="", B322=""), "",
  INDEX(RentTable, MATCH(B322, {0,1,2,3,4}, 0), MATCH(C322, {20,30,40,50,60,70,80}, 1))
)</f>
        <v/>
      </c>
      <c r="P322" s="60"/>
      <c r="Q322" s="48" t="str">
        <f t="shared" si="20"/>
        <v/>
      </c>
      <c r="R322" s="60"/>
      <c r="S322" s="60"/>
      <c r="T322" s="48" t="str">
        <f t="shared" si="17"/>
        <v/>
      </c>
      <c r="U322" s="42" t="str" cm="1">
        <f t="array" ref="U322">_xlfn.IFS(OR(Q322="", T322="", Q322=0, "", T322=0), "", AND(T322&lt;=Q322,D322&lt;=Q322), "Y", OR(T322&gt;Q322,D322&gt;Q322), "N")</f>
        <v/>
      </c>
      <c r="V322" s="62"/>
      <c r="W322" s="63"/>
    </row>
    <row r="323" spans="1:23" x14ac:dyDescent="0.25">
      <c r="A323" s="58"/>
      <c r="B323" s="59"/>
      <c r="C323" s="59"/>
      <c r="D323" s="60"/>
      <c r="E323" s="59"/>
      <c r="F323" s="59"/>
      <c r="G323" s="60"/>
      <c r="H323" s="43" t="str" cm="1">
        <f t="array" ref="H323">IF(OR(F323="", G323=""), "",
  _xlfn.LET(
    _xlpm.rowIndex, MATCH(F323, INDEX(IncomeTable,,1), 0),
    _xlpm.thresholds, INDEX(IncomeTable, _xlpm.rowIndex, 2):INDEX(IncomeTable, _xlpm.rowIndex, 8),
    _xlpm.labels, {20,30,40,50,60,70,80},
    _xlpm.income, G323,
    IF(_xlpm.income &lt; INDEX(_xlpm.thresholds,1), "Below 20%",
      IF(_xlpm.income &gt; INDEX(_xlpm.thresholds,7), "Above 80%",
        INDEX(_xlpm.labels, _xlfn.XLOOKUP(_xlpm.income, _xlpm.thresholds, _xlfn.SEQUENCE(1,7), , -1))
      )
    )
  )
)</f>
        <v/>
      </c>
      <c r="I323" s="42" t="str">
        <f t="shared" si="19"/>
        <v/>
      </c>
      <c r="J323" s="61"/>
      <c r="K323" s="61"/>
      <c r="L323" s="61"/>
      <c r="M323" s="61"/>
      <c r="N323" s="47" t="str">
        <f t="shared" si="18"/>
        <v/>
      </c>
      <c r="O323" s="48" t="str">
        <f>IF(OR(C323="", B323=""), "",
  INDEX(RentTable, MATCH(B323, {0,1,2,3,4}, 0), MATCH(C323, {20,30,40,50,60,70,80}, 1))
)</f>
        <v/>
      </c>
      <c r="P323" s="60"/>
      <c r="Q323" s="48" t="str">
        <f t="shared" si="20"/>
        <v/>
      </c>
      <c r="R323" s="60"/>
      <c r="S323" s="60"/>
      <c r="T323" s="48" t="str">
        <f t="shared" si="17"/>
        <v/>
      </c>
      <c r="U323" s="42" t="str" cm="1">
        <f t="array" ref="U323">_xlfn.IFS(OR(Q323="", T323="", Q323=0, "", T323=0), "", AND(T323&lt;=Q323,D323&lt;=Q323), "Y", OR(T323&gt;Q323,D323&gt;Q323), "N")</f>
        <v/>
      </c>
      <c r="V323" s="62"/>
      <c r="W323" s="63"/>
    </row>
    <row r="324" spans="1:23" x14ac:dyDescent="0.25">
      <c r="A324" s="58"/>
      <c r="B324" s="59"/>
      <c r="C324" s="59"/>
      <c r="D324" s="60"/>
      <c r="E324" s="59"/>
      <c r="F324" s="59"/>
      <c r="G324" s="60"/>
      <c r="H324" s="43" t="str" cm="1">
        <f t="array" ref="H324">IF(OR(F324="", G324=""), "",
  _xlfn.LET(
    _xlpm.rowIndex, MATCH(F324, INDEX(IncomeTable,,1), 0),
    _xlpm.thresholds, INDEX(IncomeTable, _xlpm.rowIndex, 2):INDEX(IncomeTable, _xlpm.rowIndex, 8),
    _xlpm.labels, {20,30,40,50,60,70,80},
    _xlpm.income, G324,
    IF(_xlpm.income &lt; INDEX(_xlpm.thresholds,1), "Below 20%",
      IF(_xlpm.income &gt; INDEX(_xlpm.thresholds,7), "Above 80%",
        INDEX(_xlpm.labels, _xlfn.XLOOKUP(_xlpm.income, _xlpm.thresholds, _xlfn.SEQUENCE(1,7), , -1))
      )
    )
  )
)</f>
        <v/>
      </c>
      <c r="I324" s="42" t="str">
        <f t="shared" si="19"/>
        <v/>
      </c>
      <c r="J324" s="61"/>
      <c r="K324" s="61"/>
      <c r="L324" s="61"/>
      <c r="M324" s="61"/>
      <c r="N324" s="47" t="str">
        <f t="shared" si="18"/>
        <v/>
      </c>
      <c r="O324" s="48" t="str">
        <f>IF(OR(C324="", B324=""), "",
  INDEX(RentTable, MATCH(B324, {0,1,2,3,4}, 0), MATCH(C324, {20,30,40,50,60,70,80}, 1))
)</f>
        <v/>
      </c>
      <c r="P324" s="60"/>
      <c r="Q324" s="48" t="str">
        <f t="shared" si="20"/>
        <v/>
      </c>
      <c r="R324" s="60"/>
      <c r="S324" s="60"/>
      <c r="T324" s="48" t="str">
        <f t="shared" si="17"/>
        <v/>
      </c>
      <c r="U324" s="42" t="str" cm="1">
        <f t="array" ref="U324">_xlfn.IFS(OR(Q324="", T324="", Q324=0, "", T324=0), "", AND(T324&lt;=Q324,D324&lt;=Q324), "Y", OR(T324&gt;Q324,D324&gt;Q324), "N")</f>
        <v/>
      </c>
      <c r="V324" s="62"/>
      <c r="W324" s="63"/>
    </row>
    <row r="325" spans="1:23" x14ac:dyDescent="0.25">
      <c r="A325" s="58"/>
      <c r="B325" s="59"/>
      <c r="C325" s="59"/>
      <c r="D325" s="60"/>
      <c r="E325" s="59"/>
      <c r="F325" s="59"/>
      <c r="G325" s="60"/>
      <c r="H325" s="43" t="str" cm="1">
        <f t="array" ref="H325">IF(OR(F325="", G325=""), "",
  _xlfn.LET(
    _xlpm.rowIndex, MATCH(F325, INDEX(IncomeTable,,1), 0),
    _xlpm.thresholds, INDEX(IncomeTable, _xlpm.rowIndex, 2):INDEX(IncomeTable, _xlpm.rowIndex, 8),
    _xlpm.labels, {20,30,40,50,60,70,80},
    _xlpm.income, G325,
    IF(_xlpm.income &lt; INDEX(_xlpm.thresholds,1), "Below 20%",
      IF(_xlpm.income &gt; INDEX(_xlpm.thresholds,7), "Above 80%",
        INDEX(_xlpm.labels, _xlfn.XLOOKUP(_xlpm.income, _xlpm.thresholds, _xlfn.SEQUENCE(1,7), , -1))
      )
    )
  )
)</f>
        <v/>
      </c>
      <c r="I325" s="42" t="str">
        <f t="shared" si="19"/>
        <v/>
      </c>
      <c r="J325" s="61"/>
      <c r="K325" s="61"/>
      <c r="L325" s="61"/>
      <c r="M325" s="61"/>
      <c r="N325" s="47" t="str">
        <f t="shared" si="18"/>
        <v/>
      </c>
      <c r="O325" s="48" t="str">
        <f>IF(OR(C325="", B325=""), "",
  INDEX(RentTable, MATCH(B325, {0,1,2,3,4}, 0), MATCH(C325, {20,30,40,50,60,70,80}, 1))
)</f>
        <v/>
      </c>
      <c r="P325" s="60"/>
      <c r="Q325" s="48" t="str">
        <f t="shared" si="20"/>
        <v/>
      </c>
      <c r="R325" s="60"/>
      <c r="S325" s="60"/>
      <c r="T325" s="48" t="str">
        <f t="shared" si="17"/>
        <v/>
      </c>
      <c r="U325" s="42" t="str" cm="1">
        <f t="array" ref="U325">_xlfn.IFS(OR(Q325="", T325="", Q325=0, "", T325=0), "", AND(T325&lt;=Q325,D325&lt;=Q325), "Y", OR(T325&gt;Q325,D325&gt;Q325), "N")</f>
        <v/>
      </c>
      <c r="V325" s="62"/>
      <c r="W325" s="63"/>
    </row>
    <row r="326" spans="1:23" x14ac:dyDescent="0.25">
      <c r="A326" s="58"/>
      <c r="B326" s="59"/>
      <c r="C326" s="59"/>
      <c r="D326" s="60"/>
      <c r="E326" s="59"/>
      <c r="F326" s="59"/>
      <c r="G326" s="60"/>
      <c r="H326" s="43" t="str" cm="1">
        <f t="array" ref="H326">IF(OR(F326="", G326=""), "",
  _xlfn.LET(
    _xlpm.rowIndex, MATCH(F326, INDEX(IncomeTable,,1), 0),
    _xlpm.thresholds, INDEX(IncomeTable, _xlpm.rowIndex, 2):INDEX(IncomeTable, _xlpm.rowIndex, 8),
    _xlpm.labels, {20,30,40,50,60,70,80},
    _xlpm.income, G326,
    IF(_xlpm.income &lt; INDEX(_xlpm.thresholds,1), "Below 20%",
      IF(_xlpm.income &gt; INDEX(_xlpm.thresholds,7), "Above 80%",
        INDEX(_xlpm.labels, _xlfn.XLOOKUP(_xlpm.income, _xlpm.thresholds, _xlfn.SEQUENCE(1,7), , -1))
      )
    )
  )
)</f>
        <v/>
      </c>
      <c r="I326" s="42" t="str">
        <f t="shared" si="19"/>
        <v/>
      </c>
      <c r="J326" s="61"/>
      <c r="K326" s="61"/>
      <c r="L326" s="61"/>
      <c r="M326" s="61"/>
      <c r="N326" s="47" t="str">
        <f t="shared" si="18"/>
        <v/>
      </c>
      <c r="O326" s="48" t="str">
        <f>IF(OR(C326="", B326=""), "",
  INDEX(RentTable, MATCH(B326, {0,1,2,3,4}, 0), MATCH(C326, {20,30,40,50,60,70,80}, 1))
)</f>
        <v/>
      </c>
      <c r="P326" s="60"/>
      <c r="Q326" s="48" t="str">
        <f t="shared" si="20"/>
        <v/>
      </c>
      <c r="R326" s="60"/>
      <c r="S326" s="60"/>
      <c r="T326" s="48" t="str">
        <f t="shared" si="17"/>
        <v/>
      </c>
      <c r="U326" s="42" t="str" cm="1">
        <f t="array" ref="U326">_xlfn.IFS(OR(Q326="", T326="", Q326=0, "", T326=0), "", AND(T326&lt;=Q326,D326&lt;=Q326), "Y", OR(T326&gt;Q326,D326&gt;Q326), "N")</f>
        <v/>
      </c>
      <c r="V326" s="62"/>
      <c r="W326" s="63"/>
    </row>
    <row r="327" spans="1:23" x14ac:dyDescent="0.25">
      <c r="A327" s="58"/>
      <c r="B327" s="59"/>
      <c r="C327" s="59"/>
      <c r="D327" s="60"/>
      <c r="E327" s="59"/>
      <c r="F327" s="59"/>
      <c r="G327" s="60"/>
      <c r="H327" s="43" t="str" cm="1">
        <f t="array" ref="H327">IF(OR(F327="", G327=""), "",
  _xlfn.LET(
    _xlpm.rowIndex, MATCH(F327, INDEX(IncomeTable,,1), 0),
    _xlpm.thresholds, INDEX(IncomeTable, _xlpm.rowIndex, 2):INDEX(IncomeTable, _xlpm.rowIndex, 8),
    _xlpm.labels, {20,30,40,50,60,70,80},
    _xlpm.income, G327,
    IF(_xlpm.income &lt; INDEX(_xlpm.thresholds,1), "Below 20%",
      IF(_xlpm.income &gt; INDEX(_xlpm.thresholds,7), "Above 80%",
        INDEX(_xlpm.labels, _xlfn.XLOOKUP(_xlpm.income, _xlpm.thresholds, _xlfn.SEQUENCE(1,7), , -1))
      )
    )
  )
)</f>
        <v/>
      </c>
      <c r="I327" s="42" t="str">
        <f t="shared" si="19"/>
        <v/>
      </c>
      <c r="J327" s="61"/>
      <c r="K327" s="61"/>
      <c r="L327" s="61"/>
      <c r="M327" s="61"/>
      <c r="N327" s="47" t="str">
        <f t="shared" si="18"/>
        <v/>
      </c>
      <c r="O327" s="48" t="str">
        <f>IF(OR(C327="", B327=""), "",
  INDEX(RentTable, MATCH(B327, {0,1,2,3,4}, 0), MATCH(C327, {20,30,40,50,60,70,80}, 1))
)</f>
        <v/>
      </c>
      <c r="P327" s="60"/>
      <c r="Q327" s="48" t="str">
        <f t="shared" si="20"/>
        <v/>
      </c>
      <c r="R327" s="60"/>
      <c r="S327" s="60"/>
      <c r="T327" s="48" t="str">
        <f t="shared" si="17"/>
        <v/>
      </c>
      <c r="U327" s="42" t="str" cm="1">
        <f t="array" ref="U327">_xlfn.IFS(OR(Q327="", T327="", Q327=0, "", T327=0), "", AND(T327&lt;=Q327,D327&lt;=Q327), "Y", OR(T327&gt;Q327,D327&gt;Q327), "N")</f>
        <v/>
      </c>
      <c r="V327" s="62"/>
      <c r="W327" s="63"/>
    </row>
    <row r="328" spans="1:23" x14ac:dyDescent="0.25">
      <c r="A328" s="58"/>
      <c r="B328" s="59"/>
      <c r="C328" s="59"/>
      <c r="D328" s="60"/>
      <c r="E328" s="59"/>
      <c r="F328" s="59"/>
      <c r="G328" s="60"/>
      <c r="H328" s="43" t="str" cm="1">
        <f t="array" ref="H328">IF(OR(F328="", G328=""), "",
  _xlfn.LET(
    _xlpm.rowIndex, MATCH(F328, INDEX(IncomeTable,,1), 0),
    _xlpm.thresholds, INDEX(IncomeTable, _xlpm.rowIndex, 2):INDEX(IncomeTable, _xlpm.rowIndex, 8),
    _xlpm.labels, {20,30,40,50,60,70,80},
    _xlpm.income, G328,
    IF(_xlpm.income &lt; INDEX(_xlpm.thresholds,1), "Below 20%",
      IF(_xlpm.income &gt; INDEX(_xlpm.thresholds,7), "Above 80%",
        INDEX(_xlpm.labels, _xlfn.XLOOKUP(_xlpm.income, _xlpm.thresholds, _xlfn.SEQUENCE(1,7), , -1))
      )
    )
  )
)</f>
        <v/>
      </c>
      <c r="I328" s="42" t="str">
        <f t="shared" si="19"/>
        <v/>
      </c>
      <c r="J328" s="61"/>
      <c r="K328" s="61"/>
      <c r="L328" s="61"/>
      <c r="M328" s="61"/>
      <c r="N328" s="47" t="str">
        <f t="shared" si="18"/>
        <v/>
      </c>
      <c r="O328" s="48" t="str">
        <f>IF(OR(C328="", B328=""), "",
  INDEX(RentTable, MATCH(B328, {0,1,2,3,4}, 0), MATCH(C328, {20,30,40,50,60,70,80}, 1))
)</f>
        <v/>
      </c>
      <c r="P328" s="60"/>
      <c r="Q328" s="48" t="str">
        <f t="shared" si="20"/>
        <v/>
      </c>
      <c r="R328" s="60"/>
      <c r="S328" s="60"/>
      <c r="T328" s="48" t="str">
        <f t="shared" si="17"/>
        <v/>
      </c>
      <c r="U328" s="42" t="str" cm="1">
        <f t="array" ref="U328">_xlfn.IFS(OR(Q328="", T328="", Q328=0, "", T328=0), "", AND(T328&lt;=Q328,D328&lt;=Q328), "Y", OR(T328&gt;Q328,D328&gt;Q328), "N")</f>
        <v/>
      </c>
      <c r="V328" s="62"/>
      <c r="W328" s="63"/>
    </row>
    <row r="329" spans="1:23" x14ac:dyDescent="0.25">
      <c r="A329" s="58"/>
      <c r="B329" s="59"/>
      <c r="C329" s="59"/>
      <c r="D329" s="60"/>
      <c r="E329" s="59"/>
      <c r="F329" s="59"/>
      <c r="G329" s="60"/>
      <c r="H329" s="43" t="str" cm="1">
        <f t="array" ref="H329">IF(OR(F329="", G329=""), "",
  _xlfn.LET(
    _xlpm.rowIndex, MATCH(F329, INDEX(IncomeTable,,1), 0),
    _xlpm.thresholds, INDEX(IncomeTable, _xlpm.rowIndex, 2):INDEX(IncomeTable, _xlpm.rowIndex, 8),
    _xlpm.labels, {20,30,40,50,60,70,80},
    _xlpm.income, G329,
    IF(_xlpm.income &lt; INDEX(_xlpm.thresholds,1), "Below 20%",
      IF(_xlpm.income &gt; INDEX(_xlpm.thresholds,7), "Above 80%",
        INDEX(_xlpm.labels, _xlfn.XLOOKUP(_xlpm.income, _xlpm.thresholds, _xlfn.SEQUENCE(1,7), , -1))
      )
    )
  )
)</f>
        <v/>
      </c>
      <c r="I329" s="42" t="str">
        <f t="shared" si="19"/>
        <v/>
      </c>
      <c r="J329" s="61"/>
      <c r="K329" s="61"/>
      <c r="L329" s="61"/>
      <c r="M329" s="61"/>
      <c r="N329" s="47" t="str">
        <f t="shared" si="18"/>
        <v/>
      </c>
      <c r="O329" s="48" t="str">
        <f>IF(OR(C329="", B329=""), "",
  INDEX(RentTable, MATCH(B329, {0,1,2,3,4}, 0), MATCH(C329, {20,30,40,50,60,70,80}, 1))
)</f>
        <v/>
      </c>
      <c r="P329" s="60"/>
      <c r="Q329" s="48" t="str">
        <f t="shared" si="20"/>
        <v/>
      </c>
      <c r="R329" s="60"/>
      <c r="S329" s="60"/>
      <c r="T329" s="48" t="str">
        <f t="shared" si="17"/>
        <v/>
      </c>
      <c r="U329" s="42" t="str" cm="1">
        <f t="array" ref="U329">_xlfn.IFS(OR(Q329="", T329="", Q329=0, "", T329=0), "", AND(T329&lt;=Q329,D329&lt;=Q329), "Y", OR(T329&gt;Q329,D329&gt;Q329), "N")</f>
        <v/>
      </c>
      <c r="V329" s="62"/>
      <c r="W329" s="63"/>
    </row>
    <row r="330" spans="1:23" x14ac:dyDescent="0.25">
      <c r="A330" s="58"/>
      <c r="B330" s="59"/>
      <c r="C330" s="59"/>
      <c r="D330" s="60"/>
      <c r="E330" s="59"/>
      <c r="F330" s="59"/>
      <c r="G330" s="60"/>
      <c r="H330" s="43" t="str" cm="1">
        <f t="array" ref="H330">IF(OR(F330="", G330=""), "",
  _xlfn.LET(
    _xlpm.rowIndex, MATCH(F330, INDEX(IncomeTable,,1), 0),
    _xlpm.thresholds, INDEX(IncomeTable, _xlpm.rowIndex, 2):INDEX(IncomeTable, _xlpm.rowIndex, 8),
    _xlpm.labels, {20,30,40,50,60,70,80},
    _xlpm.income, G330,
    IF(_xlpm.income &lt; INDEX(_xlpm.thresholds,1), "Below 20%",
      IF(_xlpm.income &gt; INDEX(_xlpm.thresholds,7), "Above 80%",
        INDEX(_xlpm.labels, _xlfn.XLOOKUP(_xlpm.income, _xlpm.thresholds, _xlfn.SEQUENCE(1,7), , -1))
      )
    )
  )
)</f>
        <v/>
      </c>
      <c r="I330" s="42" t="str">
        <f t="shared" si="19"/>
        <v/>
      </c>
      <c r="J330" s="61"/>
      <c r="K330" s="61"/>
      <c r="L330" s="61"/>
      <c r="M330" s="61"/>
      <c r="N330" s="47" t="str">
        <f t="shared" si="18"/>
        <v/>
      </c>
      <c r="O330" s="48" t="str">
        <f>IF(OR(C330="", B330=""), "",
  INDEX(RentTable, MATCH(B330, {0,1,2,3,4}, 0), MATCH(C330, {20,30,40,50,60,70,80}, 1))
)</f>
        <v/>
      </c>
      <c r="P330" s="60"/>
      <c r="Q330" s="48" t="str">
        <f t="shared" si="20"/>
        <v/>
      </c>
      <c r="R330" s="60"/>
      <c r="S330" s="60"/>
      <c r="T330" s="48" t="str">
        <f t="shared" si="17"/>
        <v/>
      </c>
      <c r="U330" s="42" t="str" cm="1">
        <f t="array" ref="U330">_xlfn.IFS(OR(Q330="", T330="", Q330=0, "", T330=0), "", AND(T330&lt;=Q330,D330&lt;=Q330), "Y", OR(T330&gt;Q330,D330&gt;Q330), "N")</f>
        <v/>
      </c>
      <c r="V330" s="62"/>
      <c r="W330" s="63"/>
    </row>
    <row r="331" spans="1:23" x14ac:dyDescent="0.25">
      <c r="A331" s="58"/>
      <c r="B331" s="59"/>
      <c r="C331" s="59"/>
      <c r="D331" s="60"/>
      <c r="E331" s="59"/>
      <c r="F331" s="59"/>
      <c r="G331" s="60"/>
      <c r="H331" s="43" t="str" cm="1">
        <f t="array" ref="H331">IF(OR(F331="", G331=""), "",
  _xlfn.LET(
    _xlpm.rowIndex, MATCH(F331, INDEX(IncomeTable,,1), 0),
    _xlpm.thresholds, INDEX(IncomeTable, _xlpm.rowIndex, 2):INDEX(IncomeTable, _xlpm.rowIndex, 8),
    _xlpm.labels, {20,30,40,50,60,70,80},
    _xlpm.income, G331,
    IF(_xlpm.income &lt; INDEX(_xlpm.thresholds,1), "Below 20%",
      IF(_xlpm.income &gt; INDEX(_xlpm.thresholds,7), "Above 80%",
        INDEX(_xlpm.labels, _xlfn.XLOOKUP(_xlpm.income, _xlpm.thresholds, _xlfn.SEQUENCE(1,7), , -1))
      )
    )
  )
)</f>
        <v/>
      </c>
      <c r="I331" s="42" t="str">
        <f t="shared" si="19"/>
        <v/>
      </c>
      <c r="J331" s="61"/>
      <c r="K331" s="61"/>
      <c r="L331" s="61"/>
      <c r="M331" s="61"/>
      <c r="N331" s="47" t="str">
        <f t="shared" si="18"/>
        <v/>
      </c>
      <c r="O331" s="48" t="str">
        <f>IF(OR(C331="", B331=""), "",
  INDEX(RentTable, MATCH(B331, {0,1,2,3,4}, 0), MATCH(C331, {20,30,40,50,60,70,80}, 1))
)</f>
        <v/>
      </c>
      <c r="P331" s="60"/>
      <c r="Q331" s="48" t="str">
        <f t="shared" si="20"/>
        <v/>
      </c>
      <c r="R331" s="60"/>
      <c r="S331" s="60"/>
      <c r="T331" s="48" t="str">
        <f t="shared" si="17"/>
        <v/>
      </c>
      <c r="U331" s="42" t="str" cm="1">
        <f t="array" ref="U331">_xlfn.IFS(OR(Q331="", T331="", Q331=0, "", T331=0), "", AND(T331&lt;=Q331,D331&lt;=Q331), "Y", OR(T331&gt;Q331,D331&gt;Q331), "N")</f>
        <v/>
      </c>
      <c r="V331" s="62"/>
      <c r="W331" s="63"/>
    </row>
    <row r="332" spans="1:23" x14ac:dyDescent="0.25">
      <c r="A332" s="58"/>
      <c r="B332" s="59"/>
      <c r="C332" s="59"/>
      <c r="D332" s="60"/>
      <c r="E332" s="59"/>
      <c r="F332" s="59"/>
      <c r="G332" s="60"/>
      <c r="H332" s="43" t="str" cm="1">
        <f t="array" ref="H332">IF(OR(F332="", G332=""), "",
  _xlfn.LET(
    _xlpm.rowIndex, MATCH(F332, INDEX(IncomeTable,,1), 0),
    _xlpm.thresholds, INDEX(IncomeTable, _xlpm.rowIndex, 2):INDEX(IncomeTable, _xlpm.rowIndex, 8),
    _xlpm.labels, {20,30,40,50,60,70,80},
    _xlpm.income, G332,
    IF(_xlpm.income &lt; INDEX(_xlpm.thresholds,1), "Below 20%",
      IF(_xlpm.income &gt; INDEX(_xlpm.thresholds,7), "Above 80%",
        INDEX(_xlpm.labels, _xlfn.XLOOKUP(_xlpm.income, _xlpm.thresholds, _xlfn.SEQUENCE(1,7), , -1))
      )
    )
  )
)</f>
        <v/>
      </c>
      <c r="I332" s="42" t="str">
        <f t="shared" si="19"/>
        <v/>
      </c>
      <c r="J332" s="61"/>
      <c r="K332" s="61"/>
      <c r="L332" s="61"/>
      <c r="M332" s="61"/>
      <c r="N332" s="47" t="str">
        <f t="shared" si="18"/>
        <v/>
      </c>
      <c r="O332" s="48" t="str">
        <f>IF(OR(C332="", B332=""), "",
  INDEX(RentTable, MATCH(B332, {0,1,2,3,4}, 0), MATCH(C332, {20,30,40,50,60,70,80}, 1))
)</f>
        <v/>
      </c>
      <c r="P332" s="60"/>
      <c r="Q332" s="48" t="str">
        <f t="shared" si="20"/>
        <v/>
      </c>
      <c r="R332" s="60"/>
      <c r="S332" s="60"/>
      <c r="T332" s="48" t="str">
        <f t="shared" si="17"/>
        <v/>
      </c>
      <c r="U332" s="42" t="str" cm="1">
        <f t="array" ref="U332">_xlfn.IFS(OR(Q332="", T332="", Q332=0, "", T332=0), "", AND(T332&lt;=Q332,D332&lt;=Q332), "Y", OR(T332&gt;Q332,D332&gt;Q332), "N")</f>
        <v/>
      </c>
      <c r="V332" s="62"/>
      <c r="W332" s="63"/>
    </row>
    <row r="333" spans="1:23" x14ac:dyDescent="0.25">
      <c r="A333" s="58"/>
      <c r="B333" s="59"/>
      <c r="C333" s="59"/>
      <c r="D333" s="60"/>
      <c r="E333" s="59"/>
      <c r="F333" s="59"/>
      <c r="G333" s="60"/>
      <c r="H333" s="43" t="str" cm="1">
        <f t="array" ref="H333">IF(OR(F333="", G333=""), "",
  _xlfn.LET(
    _xlpm.rowIndex, MATCH(F333, INDEX(IncomeTable,,1), 0),
    _xlpm.thresholds, INDEX(IncomeTable, _xlpm.rowIndex, 2):INDEX(IncomeTable, _xlpm.rowIndex, 8),
    _xlpm.labels, {20,30,40,50,60,70,80},
    _xlpm.income, G333,
    IF(_xlpm.income &lt; INDEX(_xlpm.thresholds,1), "Below 20%",
      IF(_xlpm.income &gt; INDEX(_xlpm.thresholds,7), "Above 80%",
        INDEX(_xlpm.labels, _xlfn.XLOOKUP(_xlpm.income, _xlpm.thresholds, _xlfn.SEQUENCE(1,7), , -1))
      )
    )
  )
)</f>
        <v/>
      </c>
      <c r="I333" s="42" t="str">
        <f t="shared" si="19"/>
        <v/>
      </c>
      <c r="J333" s="61"/>
      <c r="K333" s="61"/>
      <c r="L333" s="61"/>
      <c r="M333" s="61"/>
      <c r="N333" s="47" t="str">
        <f t="shared" si="18"/>
        <v/>
      </c>
      <c r="O333" s="48" t="str">
        <f>IF(OR(C333="", B333=""), "",
  INDEX(RentTable, MATCH(B333, {0,1,2,3,4}, 0), MATCH(C333, {20,30,40,50,60,70,80}, 1))
)</f>
        <v/>
      </c>
      <c r="P333" s="60"/>
      <c r="Q333" s="48" t="str">
        <f t="shared" si="20"/>
        <v/>
      </c>
      <c r="R333" s="60"/>
      <c r="S333" s="60"/>
      <c r="T333" s="48" t="str">
        <f t="shared" si="17"/>
        <v/>
      </c>
      <c r="U333" s="42" t="str" cm="1">
        <f t="array" ref="U333">_xlfn.IFS(OR(Q333="", T333="", Q333=0, "", T333=0), "", AND(T333&lt;=Q333,D333&lt;=Q333), "Y", OR(T333&gt;Q333,D333&gt;Q333), "N")</f>
        <v/>
      </c>
      <c r="V333" s="62"/>
      <c r="W333" s="63"/>
    </row>
    <row r="334" spans="1:23" x14ac:dyDescent="0.25">
      <c r="A334" s="58"/>
      <c r="B334" s="59"/>
      <c r="C334" s="59"/>
      <c r="D334" s="60"/>
      <c r="E334" s="59"/>
      <c r="F334" s="59"/>
      <c r="G334" s="60"/>
      <c r="H334" s="43" t="str" cm="1">
        <f t="array" ref="H334">IF(OR(F334="", G334=""), "",
  _xlfn.LET(
    _xlpm.rowIndex, MATCH(F334, INDEX(IncomeTable,,1), 0),
    _xlpm.thresholds, INDEX(IncomeTable, _xlpm.rowIndex, 2):INDEX(IncomeTable, _xlpm.rowIndex, 8),
    _xlpm.labels, {20,30,40,50,60,70,80},
    _xlpm.income, G334,
    IF(_xlpm.income &lt; INDEX(_xlpm.thresholds,1), "Below 20%",
      IF(_xlpm.income &gt; INDEX(_xlpm.thresholds,7), "Above 80%",
        INDEX(_xlpm.labels, _xlfn.XLOOKUP(_xlpm.income, _xlpm.thresholds, _xlfn.SEQUENCE(1,7), , -1))
      )
    )
  )
)</f>
        <v/>
      </c>
      <c r="I334" s="42" t="str">
        <f t="shared" si="19"/>
        <v/>
      </c>
      <c r="J334" s="61"/>
      <c r="K334" s="61"/>
      <c r="L334" s="61"/>
      <c r="M334" s="61"/>
      <c r="N334" s="47" t="str">
        <f t="shared" si="18"/>
        <v/>
      </c>
      <c r="O334" s="48" t="str">
        <f>IF(OR(C334="", B334=""), "",
  INDEX(RentTable, MATCH(B334, {0,1,2,3,4}, 0), MATCH(C334, {20,30,40,50,60,70,80}, 1))
)</f>
        <v/>
      </c>
      <c r="P334" s="60"/>
      <c r="Q334" s="48" t="str">
        <f t="shared" si="20"/>
        <v/>
      </c>
      <c r="R334" s="60"/>
      <c r="S334" s="60"/>
      <c r="T334" s="48" t="str">
        <f t="shared" si="17"/>
        <v/>
      </c>
      <c r="U334" s="42" t="str" cm="1">
        <f t="array" ref="U334">_xlfn.IFS(OR(Q334="", T334="", Q334=0, "", T334=0), "", AND(T334&lt;=Q334,D334&lt;=Q334), "Y", OR(T334&gt;Q334,D334&gt;Q334), "N")</f>
        <v/>
      </c>
      <c r="V334" s="62"/>
      <c r="W334" s="63"/>
    </row>
    <row r="335" spans="1:23" x14ac:dyDescent="0.25">
      <c r="A335" s="58"/>
      <c r="B335" s="59"/>
      <c r="C335" s="59"/>
      <c r="D335" s="60"/>
      <c r="E335" s="59"/>
      <c r="F335" s="59"/>
      <c r="G335" s="60"/>
      <c r="H335" s="43" t="str" cm="1">
        <f t="array" ref="H335">IF(OR(F335="", G335=""), "",
  _xlfn.LET(
    _xlpm.rowIndex, MATCH(F335, INDEX(IncomeTable,,1), 0),
    _xlpm.thresholds, INDEX(IncomeTable, _xlpm.rowIndex, 2):INDEX(IncomeTable, _xlpm.rowIndex, 8),
    _xlpm.labels, {20,30,40,50,60,70,80},
    _xlpm.income, G335,
    IF(_xlpm.income &lt; INDEX(_xlpm.thresholds,1), "Below 20%",
      IF(_xlpm.income &gt; INDEX(_xlpm.thresholds,7), "Above 80%",
        INDEX(_xlpm.labels, _xlfn.XLOOKUP(_xlpm.income, _xlpm.thresholds, _xlfn.SEQUENCE(1,7), , -1))
      )
    )
  )
)</f>
        <v/>
      </c>
      <c r="I335" s="42" t="str">
        <f t="shared" si="19"/>
        <v/>
      </c>
      <c r="J335" s="61"/>
      <c r="K335" s="61"/>
      <c r="L335" s="61"/>
      <c r="M335" s="61"/>
      <c r="N335" s="47" t="str">
        <f t="shared" si="18"/>
        <v/>
      </c>
      <c r="O335" s="48" t="str">
        <f>IF(OR(C335="", B335=""), "",
  INDEX(RentTable, MATCH(B335, {0,1,2,3,4}, 0), MATCH(C335, {20,30,40,50,60,70,80}, 1))
)</f>
        <v/>
      </c>
      <c r="P335" s="60"/>
      <c r="Q335" s="48" t="str">
        <f t="shared" si="20"/>
        <v/>
      </c>
      <c r="R335" s="60"/>
      <c r="S335" s="60"/>
      <c r="T335" s="48" t="str">
        <f t="shared" si="17"/>
        <v/>
      </c>
      <c r="U335" s="42" t="str" cm="1">
        <f t="array" ref="U335">_xlfn.IFS(OR(Q335="", T335="", Q335=0, "", T335=0), "", AND(T335&lt;=Q335,D335&lt;=Q335), "Y", OR(T335&gt;Q335,D335&gt;Q335), "N")</f>
        <v/>
      </c>
      <c r="V335" s="62"/>
      <c r="W335" s="63"/>
    </row>
    <row r="336" spans="1:23" x14ac:dyDescent="0.25">
      <c r="A336" s="58"/>
      <c r="B336" s="59"/>
      <c r="C336" s="59"/>
      <c r="D336" s="60"/>
      <c r="E336" s="59"/>
      <c r="F336" s="59"/>
      <c r="G336" s="60"/>
      <c r="H336" s="43" t="str" cm="1">
        <f t="array" ref="H336">IF(OR(F336="", G336=""), "",
  _xlfn.LET(
    _xlpm.rowIndex, MATCH(F336, INDEX(IncomeTable,,1), 0),
    _xlpm.thresholds, INDEX(IncomeTable, _xlpm.rowIndex, 2):INDEX(IncomeTable, _xlpm.rowIndex, 8),
    _xlpm.labels, {20,30,40,50,60,70,80},
    _xlpm.income, G336,
    IF(_xlpm.income &lt; INDEX(_xlpm.thresholds,1), "Below 20%",
      IF(_xlpm.income &gt; INDEX(_xlpm.thresholds,7), "Above 80%",
        INDEX(_xlpm.labels, _xlfn.XLOOKUP(_xlpm.income, _xlpm.thresholds, _xlfn.SEQUENCE(1,7), , -1))
      )
    )
  )
)</f>
        <v/>
      </c>
      <c r="I336" s="42" t="str">
        <f t="shared" si="19"/>
        <v/>
      </c>
      <c r="J336" s="61"/>
      <c r="K336" s="61"/>
      <c r="L336" s="61"/>
      <c r="M336" s="61"/>
      <c r="N336" s="47" t="str">
        <f t="shared" si="18"/>
        <v/>
      </c>
      <c r="O336" s="48" t="str">
        <f>IF(OR(C336="", B336=""), "",
  INDEX(RentTable, MATCH(B336, {0,1,2,3,4}, 0), MATCH(C336, {20,30,40,50,60,70,80}, 1))
)</f>
        <v/>
      </c>
      <c r="P336" s="60"/>
      <c r="Q336" s="48" t="str">
        <f t="shared" si="20"/>
        <v/>
      </c>
      <c r="R336" s="60"/>
      <c r="S336" s="60"/>
      <c r="T336" s="48" t="str">
        <f t="shared" si="17"/>
        <v/>
      </c>
      <c r="U336" s="42" t="str" cm="1">
        <f t="array" ref="U336">_xlfn.IFS(OR(Q336="", T336="", Q336=0, "", T336=0), "", AND(T336&lt;=Q336,D336&lt;=Q336), "Y", OR(T336&gt;Q336,D336&gt;Q336), "N")</f>
        <v/>
      </c>
      <c r="V336" s="62"/>
      <c r="W336" s="63"/>
    </row>
    <row r="337" spans="1:23" x14ac:dyDescent="0.25">
      <c r="A337" s="58"/>
      <c r="B337" s="59"/>
      <c r="C337" s="59"/>
      <c r="D337" s="60"/>
      <c r="E337" s="59"/>
      <c r="F337" s="59"/>
      <c r="G337" s="60"/>
      <c r="H337" s="43" t="str" cm="1">
        <f t="array" ref="H337">IF(OR(F337="", G337=""), "",
  _xlfn.LET(
    _xlpm.rowIndex, MATCH(F337, INDEX(IncomeTable,,1), 0),
    _xlpm.thresholds, INDEX(IncomeTable, _xlpm.rowIndex, 2):INDEX(IncomeTable, _xlpm.rowIndex, 8),
    _xlpm.labels, {20,30,40,50,60,70,80},
    _xlpm.income, G337,
    IF(_xlpm.income &lt; INDEX(_xlpm.thresholds,1), "Below 20%",
      IF(_xlpm.income &gt; INDEX(_xlpm.thresholds,7), "Above 80%",
        INDEX(_xlpm.labels, _xlfn.XLOOKUP(_xlpm.income, _xlpm.thresholds, _xlfn.SEQUENCE(1,7), , -1))
      )
    )
  )
)</f>
        <v/>
      </c>
      <c r="I337" s="42" t="str">
        <f t="shared" si="19"/>
        <v/>
      </c>
      <c r="J337" s="61"/>
      <c r="K337" s="61"/>
      <c r="L337" s="61"/>
      <c r="M337" s="61"/>
      <c r="N337" s="47" t="str">
        <f t="shared" si="18"/>
        <v/>
      </c>
      <c r="O337" s="48" t="str">
        <f>IF(OR(C337="", B337=""), "",
  INDEX(RentTable, MATCH(B337, {0,1,2,3,4}, 0), MATCH(C337, {20,30,40,50,60,70,80}, 1))
)</f>
        <v/>
      </c>
      <c r="P337" s="60"/>
      <c r="Q337" s="48" t="str">
        <f t="shared" si="20"/>
        <v/>
      </c>
      <c r="R337" s="60"/>
      <c r="S337" s="60"/>
      <c r="T337" s="48" t="str">
        <f t="shared" si="17"/>
        <v/>
      </c>
      <c r="U337" s="42" t="str" cm="1">
        <f t="array" ref="U337">_xlfn.IFS(OR(Q337="", T337="", Q337=0, "", T337=0), "", AND(T337&lt;=Q337,D337&lt;=Q337), "Y", OR(T337&gt;Q337,D337&gt;Q337), "N")</f>
        <v/>
      </c>
      <c r="V337" s="62"/>
      <c r="W337" s="63"/>
    </row>
    <row r="338" spans="1:23" x14ac:dyDescent="0.25">
      <c r="A338" s="58"/>
      <c r="B338" s="59"/>
      <c r="C338" s="59"/>
      <c r="D338" s="60"/>
      <c r="E338" s="59"/>
      <c r="F338" s="59"/>
      <c r="G338" s="60"/>
      <c r="H338" s="43" t="str" cm="1">
        <f t="array" ref="H338">IF(OR(F338="", G338=""), "",
  _xlfn.LET(
    _xlpm.rowIndex, MATCH(F338, INDEX(IncomeTable,,1), 0),
    _xlpm.thresholds, INDEX(IncomeTable, _xlpm.rowIndex, 2):INDEX(IncomeTable, _xlpm.rowIndex, 8),
    _xlpm.labels, {20,30,40,50,60,70,80},
    _xlpm.income, G338,
    IF(_xlpm.income &lt; INDEX(_xlpm.thresholds,1), "Below 20%",
      IF(_xlpm.income &gt; INDEX(_xlpm.thresholds,7), "Above 80%",
        INDEX(_xlpm.labels, _xlfn.XLOOKUP(_xlpm.income, _xlpm.thresholds, _xlfn.SEQUENCE(1,7), , -1))
      )
    )
  )
)</f>
        <v/>
      </c>
      <c r="I338" s="42" t="str">
        <f t="shared" si="19"/>
        <v/>
      </c>
      <c r="J338" s="61"/>
      <c r="K338" s="61"/>
      <c r="L338" s="61"/>
      <c r="M338" s="61"/>
      <c r="N338" s="47" t="str">
        <f t="shared" si="18"/>
        <v/>
      </c>
      <c r="O338" s="48" t="str">
        <f>IF(OR(C338="", B338=""), "",
  INDEX(RentTable, MATCH(B338, {0,1,2,3,4}, 0), MATCH(C338, {20,30,40,50,60,70,80}, 1))
)</f>
        <v/>
      </c>
      <c r="P338" s="60"/>
      <c r="Q338" s="48" t="str">
        <f t="shared" si="20"/>
        <v/>
      </c>
      <c r="R338" s="60"/>
      <c r="S338" s="60"/>
      <c r="T338" s="48" t="str">
        <f t="shared" si="17"/>
        <v/>
      </c>
      <c r="U338" s="42" t="str" cm="1">
        <f t="array" ref="U338">_xlfn.IFS(OR(Q338="", T338="", Q338=0, "", T338=0), "", AND(T338&lt;=Q338,D338&lt;=Q338), "Y", OR(T338&gt;Q338,D338&gt;Q338), "N")</f>
        <v/>
      </c>
      <c r="V338" s="62"/>
      <c r="W338" s="63"/>
    </row>
    <row r="339" spans="1:23" x14ac:dyDescent="0.25">
      <c r="A339" s="58"/>
      <c r="B339" s="59"/>
      <c r="C339" s="59"/>
      <c r="D339" s="60"/>
      <c r="E339" s="59"/>
      <c r="F339" s="59"/>
      <c r="G339" s="60"/>
      <c r="H339" s="43" t="str" cm="1">
        <f t="array" ref="H339">IF(OR(F339="", G339=""), "",
  _xlfn.LET(
    _xlpm.rowIndex, MATCH(F339, INDEX(IncomeTable,,1), 0),
    _xlpm.thresholds, INDEX(IncomeTable, _xlpm.rowIndex, 2):INDEX(IncomeTable, _xlpm.rowIndex, 8),
    _xlpm.labels, {20,30,40,50,60,70,80},
    _xlpm.income, G339,
    IF(_xlpm.income &lt; INDEX(_xlpm.thresholds,1), "Below 20%",
      IF(_xlpm.income &gt; INDEX(_xlpm.thresholds,7), "Above 80%",
        INDEX(_xlpm.labels, _xlfn.XLOOKUP(_xlpm.income, _xlpm.thresholds, _xlfn.SEQUENCE(1,7), , -1))
      )
    )
  )
)</f>
        <v/>
      </c>
      <c r="I339" s="42" t="str">
        <f t="shared" si="19"/>
        <v/>
      </c>
      <c r="J339" s="61"/>
      <c r="K339" s="61"/>
      <c r="L339" s="61"/>
      <c r="M339" s="61"/>
      <c r="N339" s="47" t="str">
        <f t="shared" si="18"/>
        <v/>
      </c>
      <c r="O339" s="48" t="str">
        <f>IF(OR(C339="", B339=""), "",
  INDEX(RentTable, MATCH(B339, {0,1,2,3,4}, 0), MATCH(C339, {20,30,40,50,60,70,80}, 1))
)</f>
        <v/>
      </c>
      <c r="P339" s="60"/>
      <c r="Q339" s="48" t="str">
        <f t="shared" si="20"/>
        <v/>
      </c>
      <c r="R339" s="60"/>
      <c r="S339" s="60"/>
      <c r="T339" s="48" t="str">
        <f t="shared" si="17"/>
        <v/>
      </c>
      <c r="U339" s="42" t="str" cm="1">
        <f t="array" ref="U339">_xlfn.IFS(OR(Q339="", T339="", Q339=0, "", T339=0), "", AND(T339&lt;=Q339,D339&lt;=Q339), "Y", OR(T339&gt;Q339,D339&gt;Q339), "N")</f>
        <v/>
      </c>
      <c r="V339" s="62"/>
      <c r="W339" s="63"/>
    </row>
    <row r="340" spans="1:23" x14ac:dyDescent="0.25">
      <c r="A340" s="58"/>
      <c r="B340" s="59"/>
      <c r="C340" s="59"/>
      <c r="D340" s="60"/>
      <c r="E340" s="59"/>
      <c r="F340" s="59"/>
      <c r="G340" s="60"/>
      <c r="H340" s="43" t="str" cm="1">
        <f t="array" ref="H340">IF(OR(F340="", G340=""), "",
  _xlfn.LET(
    _xlpm.rowIndex, MATCH(F340, INDEX(IncomeTable,,1), 0),
    _xlpm.thresholds, INDEX(IncomeTable, _xlpm.rowIndex, 2):INDEX(IncomeTable, _xlpm.rowIndex, 8),
    _xlpm.labels, {20,30,40,50,60,70,80},
    _xlpm.income, G340,
    IF(_xlpm.income &lt; INDEX(_xlpm.thresholds,1), "Below 20%",
      IF(_xlpm.income &gt; INDEX(_xlpm.thresholds,7), "Above 80%",
        INDEX(_xlpm.labels, _xlfn.XLOOKUP(_xlpm.income, _xlpm.thresholds, _xlfn.SEQUENCE(1,7), , -1))
      )
    )
  )
)</f>
        <v/>
      </c>
      <c r="I340" s="42" t="str">
        <f t="shared" si="19"/>
        <v/>
      </c>
      <c r="J340" s="61"/>
      <c r="K340" s="61"/>
      <c r="L340" s="61"/>
      <c r="M340" s="61"/>
      <c r="N340" s="47" t="str">
        <f t="shared" si="18"/>
        <v/>
      </c>
      <c r="O340" s="48" t="str">
        <f>IF(OR(C340="", B340=""), "",
  INDEX(RentTable, MATCH(B340, {0,1,2,3,4}, 0), MATCH(C340, {20,30,40,50,60,70,80}, 1))
)</f>
        <v/>
      </c>
      <c r="P340" s="60"/>
      <c r="Q340" s="48" t="str">
        <f t="shared" si="20"/>
        <v/>
      </c>
      <c r="R340" s="60"/>
      <c r="S340" s="60"/>
      <c r="T340" s="48" t="str">
        <f t="shared" si="17"/>
        <v/>
      </c>
      <c r="U340" s="42" t="str" cm="1">
        <f t="array" ref="U340">_xlfn.IFS(OR(Q340="", T340="", Q340=0, "", T340=0), "", AND(T340&lt;=Q340,D340&lt;=Q340), "Y", OR(T340&gt;Q340,D340&gt;Q340), "N")</f>
        <v/>
      </c>
      <c r="V340" s="62"/>
      <c r="W340" s="63"/>
    </row>
    <row r="341" spans="1:23" x14ac:dyDescent="0.25">
      <c r="A341" s="58"/>
      <c r="B341" s="59"/>
      <c r="C341" s="59"/>
      <c r="D341" s="60"/>
      <c r="E341" s="59"/>
      <c r="F341" s="59"/>
      <c r="G341" s="60"/>
      <c r="H341" s="43" t="str" cm="1">
        <f t="array" ref="H341">IF(OR(F341="", G341=""), "",
  _xlfn.LET(
    _xlpm.rowIndex, MATCH(F341, INDEX(IncomeTable,,1), 0),
    _xlpm.thresholds, INDEX(IncomeTable, _xlpm.rowIndex, 2):INDEX(IncomeTable, _xlpm.rowIndex, 8),
    _xlpm.labels, {20,30,40,50,60,70,80},
    _xlpm.income, G341,
    IF(_xlpm.income &lt; INDEX(_xlpm.thresholds,1), "Below 20%",
      IF(_xlpm.income &gt; INDEX(_xlpm.thresholds,7), "Above 80%",
        INDEX(_xlpm.labels, _xlfn.XLOOKUP(_xlpm.income, _xlpm.thresholds, _xlfn.SEQUENCE(1,7), , -1))
      )
    )
  )
)</f>
        <v/>
      </c>
      <c r="I341" s="42" t="str">
        <f t="shared" si="19"/>
        <v/>
      </c>
      <c r="J341" s="61"/>
      <c r="K341" s="61"/>
      <c r="L341" s="61"/>
      <c r="M341" s="61"/>
      <c r="N341" s="47" t="str">
        <f t="shared" si="18"/>
        <v/>
      </c>
      <c r="O341" s="48" t="str">
        <f>IF(OR(C341="", B341=""), "",
  INDEX(RentTable, MATCH(B341, {0,1,2,3,4}, 0), MATCH(C341, {20,30,40,50,60,70,80}, 1))
)</f>
        <v/>
      </c>
      <c r="P341" s="60"/>
      <c r="Q341" s="48" t="str">
        <f t="shared" si="20"/>
        <v/>
      </c>
      <c r="R341" s="60"/>
      <c r="S341" s="60"/>
      <c r="T341" s="48" t="str">
        <f t="shared" si="17"/>
        <v/>
      </c>
      <c r="U341" s="42" t="str" cm="1">
        <f t="array" ref="U341">_xlfn.IFS(OR(Q341="", T341="", Q341=0, "", T341=0), "", AND(T341&lt;=Q341,D341&lt;=Q341), "Y", OR(T341&gt;Q341,D341&gt;Q341), "N")</f>
        <v/>
      </c>
      <c r="V341" s="62"/>
      <c r="W341" s="63"/>
    </row>
    <row r="342" spans="1:23" x14ac:dyDescent="0.25">
      <c r="A342" s="58"/>
      <c r="B342" s="59"/>
      <c r="C342" s="59"/>
      <c r="D342" s="60"/>
      <c r="E342" s="59"/>
      <c r="F342" s="59"/>
      <c r="G342" s="60"/>
      <c r="H342" s="43" t="str" cm="1">
        <f t="array" ref="H342">IF(OR(F342="", G342=""), "",
  _xlfn.LET(
    _xlpm.rowIndex, MATCH(F342, INDEX(IncomeTable,,1), 0),
    _xlpm.thresholds, INDEX(IncomeTable, _xlpm.rowIndex, 2):INDEX(IncomeTable, _xlpm.rowIndex, 8),
    _xlpm.labels, {20,30,40,50,60,70,80},
    _xlpm.income, G342,
    IF(_xlpm.income &lt; INDEX(_xlpm.thresholds,1), "Below 20%",
      IF(_xlpm.income &gt; INDEX(_xlpm.thresholds,7), "Above 80%",
        INDEX(_xlpm.labels, _xlfn.XLOOKUP(_xlpm.income, _xlpm.thresholds, _xlfn.SEQUENCE(1,7), , -1))
      )
    )
  )
)</f>
        <v/>
      </c>
      <c r="I342" s="42" t="str">
        <f t="shared" si="19"/>
        <v/>
      </c>
      <c r="J342" s="61"/>
      <c r="K342" s="61"/>
      <c r="L342" s="61"/>
      <c r="M342" s="61"/>
      <c r="N342" s="47" t="str">
        <f t="shared" si="18"/>
        <v/>
      </c>
      <c r="O342" s="48" t="str">
        <f>IF(OR(C342="", B342=""), "",
  INDEX(RentTable, MATCH(B342, {0,1,2,3,4}, 0), MATCH(C342, {20,30,40,50,60,70,80}, 1))
)</f>
        <v/>
      </c>
      <c r="P342" s="60"/>
      <c r="Q342" s="48" t="str">
        <f t="shared" si="20"/>
        <v/>
      </c>
      <c r="R342" s="60"/>
      <c r="S342" s="60"/>
      <c r="T342" s="48" t="str">
        <f t="shared" si="17"/>
        <v/>
      </c>
      <c r="U342" s="42" t="str" cm="1">
        <f t="array" ref="U342">_xlfn.IFS(OR(Q342="", T342="", Q342=0, "", T342=0), "", AND(T342&lt;=Q342,D342&lt;=Q342), "Y", OR(T342&gt;Q342,D342&gt;Q342), "N")</f>
        <v/>
      </c>
      <c r="V342" s="62"/>
      <c r="W342" s="63"/>
    </row>
    <row r="343" spans="1:23" x14ac:dyDescent="0.25">
      <c r="A343" s="58"/>
      <c r="B343" s="59"/>
      <c r="C343" s="59"/>
      <c r="D343" s="60"/>
      <c r="E343" s="59"/>
      <c r="F343" s="59"/>
      <c r="G343" s="60"/>
      <c r="H343" s="43" t="str" cm="1">
        <f t="array" ref="H343">IF(OR(F343="", G343=""), "",
  _xlfn.LET(
    _xlpm.rowIndex, MATCH(F343, INDEX(IncomeTable,,1), 0),
    _xlpm.thresholds, INDEX(IncomeTable, _xlpm.rowIndex, 2):INDEX(IncomeTable, _xlpm.rowIndex, 8),
    _xlpm.labels, {20,30,40,50,60,70,80},
    _xlpm.income, G343,
    IF(_xlpm.income &lt; INDEX(_xlpm.thresholds,1), "Below 20%",
      IF(_xlpm.income &gt; INDEX(_xlpm.thresholds,7), "Above 80%",
        INDEX(_xlpm.labels, _xlfn.XLOOKUP(_xlpm.income, _xlpm.thresholds, _xlfn.SEQUENCE(1,7), , -1))
      )
    )
  )
)</f>
        <v/>
      </c>
      <c r="I343" s="42" t="str">
        <f t="shared" si="19"/>
        <v/>
      </c>
      <c r="J343" s="61"/>
      <c r="K343" s="61"/>
      <c r="L343" s="61"/>
      <c r="M343" s="61"/>
      <c r="N343" s="47" t="str">
        <f t="shared" si="18"/>
        <v/>
      </c>
      <c r="O343" s="48" t="str">
        <f>IF(OR(C343="", B343=""), "",
  INDEX(RentTable, MATCH(B343, {0,1,2,3,4}, 0), MATCH(C343, {20,30,40,50,60,70,80}, 1))
)</f>
        <v/>
      </c>
      <c r="P343" s="60"/>
      <c r="Q343" s="48" t="str">
        <f t="shared" si="20"/>
        <v/>
      </c>
      <c r="R343" s="60"/>
      <c r="S343" s="60"/>
      <c r="T343" s="48" t="str">
        <f t="shared" ref="T343:T406" si="21">IF(OR(R343=""), "", R343 + S343)</f>
        <v/>
      </c>
      <c r="U343" s="42" t="str" cm="1">
        <f t="array" ref="U343">_xlfn.IFS(OR(Q343="", T343="", Q343=0, "", T343=0), "", AND(T343&lt;=Q343,D343&lt;=Q343), "Y", OR(T343&gt;Q343,D343&gt;Q343), "N")</f>
        <v/>
      </c>
      <c r="V343" s="62"/>
      <c r="W343" s="63"/>
    </row>
    <row r="344" spans="1:23" x14ac:dyDescent="0.25">
      <c r="A344" s="58"/>
      <c r="B344" s="59"/>
      <c r="C344" s="59"/>
      <c r="D344" s="60"/>
      <c r="E344" s="59"/>
      <c r="F344" s="59"/>
      <c r="G344" s="60"/>
      <c r="H344" s="43" t="str" cm="1">
        <f t="array" ref="H344">IF(OR(F344="", G344=""), "",
  _xlfn.LET(
    _xlpm.rowIndex, MATCH(F344, INDEX(IncomeTable,,1), 0),
    _xlpm.thresholds, INDEX(IncomeTable, _xlpm.rowIndex, 2):INDEX(IncomeTable, _xlpm.rowIndex, 8),
    _xlpm.labels, {20,30,40,50,60,70,80},
    _xlpm.income, G344,
    IF(_xlpm.income &lt; INDEX(_xlpm.thresholds,1), "Below 20%",
      IF(_xlpm.income &gt; INDEX(_xlpm.thresholds,7), "Above 80%",
        INDEX(_xlpm.labels, _xlfn.XLOOKUP(_xlpm.income, _xlpm.thresholds, _xlfn.SEQUENCE(1,7), , -1))
      )
    )
  )
)</f>
        <v/>
      </c>
      <c r="I344" s="42" t="str">
        <f t="shared" si="19"/>
        <v/>
      </c>
      <c r="J344" s="61"/>
      <c r="K344" s="61"/>
      <c r="L344" s="61"/>
      <c r="M344" s="61"/>
      <c r="N344" s="47" t="str">
        <f t="shared" ref="N344:N407" si="22">IF(OR(L344="", M344="", J344=""),"",
   IF(L344="Y",
   IF(M344&lt;J344, "Y", "N"),
   IF(M344&lt;=DATE(YEAR(J344),3,31), "Y", "N")
))</f>
        <v/>
      </c>
      <c r="O344" s="48" t="str">
        <f>IF(OR(C344="", B344=""), "",
  INDEX(RentTable, MATCH(B344, {0,1,2,3,4}, 0), MATCH(C344, {20,30,40,50,60,70,80}, 1))
)</f>
        <v/>
      </c>
      <c r="P344" s="60"/>
      <c r="Q344" s="48" t="str">
        <f t="shared" si="20"/>
        <v/>
      </c>
      <c r="R344" s="60"/>
      <c r="S344" s="60"/>
      <c r="T344" s="48" t="str">
        <f t="shared" si="21"/>
        <v/>
      </c>
      <c r="U344" s="42" t="str" cm="1">
        <f t="array" ref="U344">_xlfn.IFS(OR(Q344="", T344="", Q344=0, "", T344=0), "", AND(T344&lt;=Q344,D344&lt;=Q344), "Y", OR(T344&gt;Q344,D344&gt;Q344), "N")</f>
        <v/>
      </c>
      <c r="V344" s="62"/>
      <c r="W344" s="63"/>
    </row>
    <row r="345" spans="1:23" x14ac:dyDescent="0.25">
      <c r="A345" s="58"/>
      <c r="B345" s="59"/>
      <c r="C345" s="59"/>
      <c r="D345" s="60"/>
      <c r="E345" s="59"/>
      <c r="F345" s="59"/>
      <c r="G345" s="60"/>
      <c r="H345" s="43" t="str" cm="1">
        <f t="array" ref="H345">IF(OR(F345="", G345=""), "",
  _xlfn.LET(
    _xlpm.rowIndex, MATCH(F345, INDEX(IncomeTable,,1), 0),
    _xlpm.thresholds, INDEX(IncomeTable, _xlpm.rowIndex, 2):INDEX(IncomeTable, _xlpm.rowIndex, 8),
    _xlpm.labels, {20,30,40,50,60,70,80},
    _xlpm.income, G345,
    IF(_xlpm.income &lt; INDEX(_xlpm.thresholds,1), "Below 20%",
      IF(_xlpm.income &gt; INDEX(_xlpm.thresholds,7), "Above 80%",
        INDEX(_xlpm.labels, _xlfn.XLOOKUP(_xlpm.income, _xlpm.thresholds, _xlfn.SEQUENCE(1,7), , -1))
      )
    )
  )
)</f>
        <v/>
      </c>
      <c r="I345" s="42" t="str">
        <f t="shared" si="19"/>
        <v/>
      </c>
      <c r="J345" s="61"/>
      <c r="K345" s="61"/>
      <c r="L345" s="61"/>
      <c r="M345" s="61"/>
      <c r="N345" s="47" t="str">
        <f t="shared" si="22"/>
        <v/>
      </c>
      <c r="O345" s="48" t="str">
        <f>IF(OR(C345="", B345=""), "",
  INDEX(RentTable, MATCH(B345, {0,1,2,3,4}, 0), MATCH(C345, {20,30,40,50,60,70,80}, 1))
)</f>
        <v/>
      </c>
      <c r="P345" s="60"/>
      <c r="Q345" s="48" t="str">
        <f t="shared" si="20"/>
        <v/>
      </c>
      <c r="R345" s="60"/>
      <c r="S345" s="60"/>
      <c r="T345" s="48" t="str">
        <f t="shared" si="21"/>
        <v/>
      </c>
      <c r="U345" s="42" t="str" cm="1">
        <f t="array" ref="U345">_xlfn.IFS(OR(Q345="", T345="", Q345=0, "", T345=0), "", AND(T345&lt;=Q345,D345&lt;=Q345), "Y", OR(T345&gt;Q345,D345&gt;Q345), "N")</f>
        <v/>
      </c>
      <c r="V345" s="62"/>
      <c r="W345" s="63"/>
    </row>
    <row r="346" spans="1:23" x14ac:dyDescent="0.25">
      <c r="A346" s="58"/>
      <c r="B346" s="59"/>
      <c r="C346" s="59"/>
      <c r="D346" s="60"/>
      <c r="E346" s="59"/>
      <c r="F346" s="59"/>
      <c r="G346" s="60"/>
      <c r="H346" s="43" t="str" cm="1">
        <f t="array" ref="H346">IF(OR(F346="", G346=""), "",
  _xlfn.LET(
    _xlpm.rowIndex, MATCH(F346, INDEX(IncomeTable,,1), 0),
    _xlpm.thresholds, INDEX(IncomeTable, _xlpm.rowIndex, 2):INDEX(IncomeTable, _xlpm.rowIndex, 8),
    _xlpm.labels, {20,30,40,50,60,70,80},
    _xlpm.income, G346,
    IF(_xlpm.income &lt; INDEX(_xlpm.thresholds,1), "Below 20%",
      IF(_xlpm.income &gt; INDEX(_xlpm.thresholds,7), "Above 80%",
        INDEX(_xlpm.labels, _xlfn.XLOOKUP(_xlpm.income, _xlpm.thresholds, _xlfn.SEQUENCE(1,7), , -1))
      )
    )
  )
)</f>
        <v/>
      </c>
      <c r="I346" s="42" t="str">
        <f t="shared" ref="I346:I409" si="23">IF(AND(ISNUMBER(C346), ISNUMBER(H346)), IF(C346=H346, "Y", "N"), "")</f>
        <v/>
      </c>
      <c r="J346" s="61"/>
      <c r="K346" s="61"/>
      <c r="L346" s="61"/>
      <c r="M346" s="61"/>
      <c r="N346" s="47" t="str">
        <f t="shared" si="22"/>
        <v/>
      </c>
      <c r="O346" s="48" t="str">
        <f>IF(OR(C346="", B346=""), "",
  INDEX(RentTable, MATCH(B346, {0,1,2,3,4}, 0), MATCH(C346, {20,30,40,50,60,70,80}, 1))
)</f>
        <v/>
      </c>
      <c r="P346" s="60"/>
      <c r="Q346" s="48" t="str">
        <f t="shared" ref="Q346:Q409" si="24">IF(OR(O346="", ISBLANK(O346), O346=0), "", O346 - P346)</f>
        <v/>
      </c>
      <c r="R346" s="60"/>
      <c r="S346" s="60"/>
      <c r="T346" s="48" t="str">
        <f t="shared" si="21"/>
        <v/>
      </c>
      <c r="U346" s="42" t="str" cm="1">
        <f t="array" ref="U346">_xlfn.IFS(OR(Q346="", T346="", Q346=0, "", T346=0), "", AND(T346&lt;=Q346,D346&lt;=Q346), "Y", OR(T346&gt;Q346,D346&gt;Q346), "N")</f>
        <v/>
      </c>
      <c r="V346" s="62"/>
      <c r="W346" s="63"/>
    </row>
    <row r="347" spans="1:23" x14ac:dyDescent="0.25">
      <c r="A347" s="58"/>
      <c r="B347" s="59"/>
      <c r="C347" s="59"/>
      <c r="D347" s="60"/>
      <c r="E347" s="59"/>
      <c r="F347" s="59"/>
      <c r="G347" s="60"/>
      <c r="H347" s="43" t="str" cm="1">
        <f t="array" ref="H347">IF(OR(F347="", G347=""), "",
  _xlfn.LET(
    _xlpm.rowIndex, MATCH(F347, INDEX(IncomeTable,,1), 0),
    _xlpm.thresholds, INDEX(IncomeTable, _xlpm.rowIndex, 2):INDEX(IncomeTable, _xlpm.rowIndex, 8),
    _xlpm.labels, {20,30,40,50,60,70,80},
    _xlpm.income, G347,
    IF(_xlpm.income &lt; INDEX(_xlpm.thresholds,1), "Below 20%",
      IF(_xlpm.income &gt; INDEX(_xlpm.thresholds,7), "Above 80%",
        INDEX(_xlpm.labels, _xlfn.XLOOKUP(_xlpm.income, _xlpm.thresholds, _xlfn.SEQUENCE(1,7), , -1))
      )
    )
  )
)</f>
        <v/>
      </c>
      <c r="I347" s="42" t="str">
        <f t="shared" si="23"/>
        <v/>
      </c>
      <c r="J347" s="61"/>
      <c r="K347" s="61"/>
      <c r="L347" s="61"/>
      <c r="M347" s="61"/>
      <c r="N347" s="47" t="str">
        <f t="shared" si="22"/>
        <v/>
      </c>
      <c r="O347" s="48" t="str">
        <f>IF(OR(C347="", B347=""), "",
  INDEX(RentTable, MATCH(B347, {0,1,2,3,4}, 0), MATCH(C347, {20,30,40,50,60,70,80}, 1))
)</f>
        <v/>
      </c>
      <c r="P347" s="60"/>
      <c r="Q347" s="48" t="str">
        <f t="shared" si="24"/>
        <v/>
      </c>
      <c r="R347" s="60"/>
      <c r="S347" s="60"/>
      <c r="T347" s="48" t="str">
        <f t="shared" si="21"/>
        <v/>
      </c>
      <c r="U347" s="42" t="str" cm="1">
        <f t="array" ref="U347">_xlfn.IFS(OR(Q347="", T347="", Q347=0, "", T347=0), "", AND(T347&lt;=Q347,D347&lt;=Q347), "Y", OR(T347&gt;Q347,D347&gt;Q347), "N")</f>
        <v/>
      </c>
      <c r="V347" s="62"/>
      <c r="W347" s="63"/>
    </row>
    <row r="348" spans="1:23" x14ac:dyDescent="0.25">
      <c r="A348" s="58"/>
      <c r="B348" s="59"/>
      <c r="C348" s="59"/>
      <c r="D348" s="60"/>
      <c r="E348" s="59"/>
      <c r="F348" s="59"/>
      <c r="G348" s="60"/>
      <c r="H348" s="43" t="str" cm="1">
        <f t="array" ref="H348">IF(OR(F348="", G348=""), "",
  _xlfn.LET(
    _xlpm.rowIndex, MATCH(F348, INDEX(IncomeTable,,1), 0),
    _xlpm.thresholds, INDEX(IncomeTable, _xlpm.rowIndex, 2):INDEX(IncomeTable, _xlpm.rowIndex, 8),
    _xlpm.labels, {20,30,40,50,60,70,80},
    _xlpm.income, G348,
    IF(_xlpm.income &lt; INDEX(_xlpm.thresholds,1), "Below 20%",
      IF(_xlpm.income &gt; INDEX(_xlpm.thresholds,7), "Above 80%",
        INDEX(_xlpm.labels, _xlfn.XLOOKUP(_xlpm.income, _xlpm.thresholds, _xlfn.SEQUENCE(1,7), , -1))
      )
    )
  )
)</f>
        <v/>
      </c>
      <c r="I348" s="42" t="str">
        <f t="shared" si="23"/>
        <v/>
      </c>
      <c r="J348" s="61"/>
      <c r="K348" s="61"/>
      <c r="L348" s="61"/>
      <c r="M348" s="61"/>
      <c r="N348" s="47" t="str">
        <f t="shared" si="22"/>
        <v/>
      </c>
      <c r="O348" s="48" t="str">
        <f>IF(OR(C348="", B348=""), "",
  INDEX(RentTable, MATCH(B348, {0,1,2,3,4}, 0), MATCH(C348, {20,30,40,50,60,70,80}, 1))
)</f>
        <v/>
      </c>
      <c r="P348" s="60"/>
      <c r="Q348" s="48" t="str">
        <f t="shared" si="24"/>
        <v/>
      </c>
      <c r="R348" s="60"/>
      <c r="S348" s="60"/>
      <c r="T348" s="48" t="str">
        <f t="shared" si="21"/>
        <v/>
      </c>
      <c r="U348" s="42" t="str" cm="1">
        <f t="array" ref="U348">_xlfn.IFS(OR(Q348="", T348="", Q348=0, "", T348=0), "", AND(T348&lt;=Q348,D348&lt;=Q348), "Y", OR(T348&gt;Q348,D348&gt;Q348), "N")</f>
        <v/>
      </c>
      <c r="V348" s="62"/>
      <c r="W348" s="63"/>
    </row>
    <row r="349" spans="1:23" x14ac:dyDescent="0.25">
      <c r="A349" s="58"/>
      <c r="B349" s="59"/>
      <c r="C349" s="59"/>
      <c r="D349" s="60"/>
      <c r="E349" s="59"/>
      <c r="F349" s="59"/>
      <c r="G349" s="60"/>
      <c r="H349" s="43" t="str" cm="1">
        <f t="array" ref="H349">IF(OR(F349="", G349=""), "",
  _xlfn.LET(
    _xlpm.rowIndex, MATCH(F349, INDEX(IncomeTable,,1), 0),
    _xlpm.thresholds, INDEX(IncomeTable, _xlpm.rowIndex, 2):INDEX(IncomeTable, _xlpm.rowIndex, 8),
    _xlpm.labels, {20,30,40,50,60,70,80},
    _xlpm.income, G349,
    IF(_xlpm.income &lt; INDEX(_xlpm.thresholds,1), "Below 20%",
      IF(_xlpm.income &gt; INDEX(_xlpm.thresholds,7), "Above 80%",
        INDEX(_xlpm.labels, _xlfn.XLOOKUP(_xlpm.income, _xlpm.thresholds, _xlfn.SEQUENCE(1,7), , -1))
      )
    )
  )
)</f>
        <v/>
      </c>
      <c r="I349" s="42" t="str">
        <f t="shared" si="23"/>
        <v/>
      </c>
      <c r="J349" s="61"/>
      <c r="K349" s="61"/>
      <c r="L349" s="61"/>
      <c r="M349" s="61"/>
      <c r="N349" s="47" t="str">
        <f t="shared" si="22"/>
        <v/>
      </c>
      <c r="O349" s="48" t="str">
        <f>IF(OR(C349="", B349=""), "",
  INDEX(RentTable, MATCH(B349, {0,1,2,3,4}, 0), MATCH(C349, {20,30,40,50,60,70,80}, 1))
)</f>
        <v/>
      </c>
      <c r="P349" s="60"/>
      <c r="Q349" s="48" t="str">
        <f t="shared" si="24"/>
        <v/>
      </c>
      <c r="R349" s="60"/>
      <c r="S349" s="60"/>
      <c r="T349" s="48" t="str">
        <f t="shared" si="21"/>
        <v/>
      </c>
      <c r="U349" s="42" t="str" cm="1">
        <f t="array" ref="U349">_xlfn.IFS(OR(Q349="", T349="", Q349=0, "", T349=0), "", AND(T349&lt;=Q349,D349&lt;=Q349), "Y", OR(T349&gt;Q349,D349&gt;Q349), "N")</f>
        <v/>
      </c>
      <c r="V349" s="62"/>
      <c r="W349" s="63"/>
    </row>
    <row r="350" spans="1:23" x14ac:dyDescent="0.25">
      <c r="A350" s="58"/>
      <c r="B350" s="59"/>
      <c r="C350" s="59"/>
      <c r="D350" s="60"/>
      <c r="E350" s="59"/>
      <c r="F350" s="59"/>
      <c r="G350" s="60"/>
      <c r="H350" s="43" t="str" cm="1">
        <f t="array" ref="H350">IF(OR(F350="", G350=""), "",
  _xlfn.LET(
    _xlpm.rowIndex, MATCH(F350, INDEX(IncomeTable,,1), 0),
    _xlpm.thresholds, INDEX(IncomeTable, _xlpm.rowIndex, 2):INDEX(IncomeTable, _xlpm.rowIndex, 8),
    _xlpm.labels, {20,30,40,50,60,70,80},
    _xlpm.income, G350,
    IF(_xlpm.income &lt; INDEX(_xlpm.thresholds,1), "Below 20%",
      IF(_xlpm.income &gt; INDEX(_xlpm.thresholds,7), "Above 80%",
        INDEX(_xlpm.labels, _xlfn.XLOOKUP(_xlpm.income, _xlpm.thresholds, _xlfn.SEQUENCE(1,7), , -1))
      )
    )
  )
)</f>
        <v/>
      </c>
      <c r="I350" s="42" t="str">
        <f t="shared" si="23"/>
        <v/>
      </c>
      <c r="J350" s="61"/>
      <c r="K350" s="61"/>
      <c r="L350" s="61"/>
      <c r="M350" s="61"/>
      <c r="N350" s="47" t="str">
        <f t="shared" si="22"/>
        <v/>
      </c>
      <c r="O350" s="48" t="str">
        <f>IF(OR(C350="", B350=""), "",
  INDEX(RentTable, MATCH(B350, {0,1,2,3,4}, 0), MATCH(C350, {20,30,40,50,60,70,80}, 1))
)</f>
        <v/>
      </c>
      <c r="P350" s="60"/>
      <c r="Q350" s="48" t="str">
        <f t="shared" si="24"/>
        <v/>
      </c>
      <c r="R350" s="60"/>
      <c r="S350" s="60"/>
      <c r="T350" s="48" t="str">
        <f t="shared" si="21"/>
        <v/>
      </c>
      <c r="U350" s="42" t="str" cm="1">
        <f t="array" ref="U350">_xlfn.IFS(OR(Q350="", T350="", Q350=0, "", T350=0), "", AND(T350&lt;=Q350,D350&lt;=Q350), "Y", OR(T350&gt;Q350,D350&gt;Q350), "N")</f>
        <v/>
      </c>
      <c r="V350" s="62"/>
      <c r="W350" s="63"/>
    </row>
    <row r="351" spans="1:23" x14ac:dyDescent="0.25">
      <c r="A351" s="58"/>
      <c r="B351" s="59"/>
      <c r="C351" s="59"/>
      <c r="D351" s="60"/>
      <c r="E351" s="59"/>
      <c r="F351" s="59"/>
      <c r="G351" s="60"/>
      <c r="H351" s="43" t="str" cm="1">
        <f t="array" ref="H351">IF(OR(F351="", G351=""), "",
  _xlfn.LET(
    _xlpm.rowIndex, MATCH(F351, INDEX(IncomeTable,,1), 0),
    _xlpm.thresholds, INDEX(IncomeTable, _xlpm.rowIndex, 2):INDEX(IncomeTable, _xlpm.rowIndex, 8),
    _xlpm.labels, {20,30,40,50,60,70,80},
    _xlpm.income, G351,
    IF(_xlpm.income &lt; INDEX(_xlpm.thresholds,1), "Below 20%",
      IF(_xlpm.income &gt; INDEX(_xlpm.thresholds,7), "Above 80%",
        INDEX(_xlpm.labels, _xlfn.XLOOKUP(_xlpm.income, _xlpm.thresholds, _xlfn.SEQUENCE(1,7), , -1))
      )
    )
  )
)</f>
        <v/>
      </c>
      <c r="I351" s="42" t="str">
        <f t="shared" si="23"/>
        <v/>
      </c>
      <c r="J351" s="61"/>
      <c r="K351" s="61"/>
      <c r="L351" s="61"/>
      <c r="M351" s="61"/>
      <c r="N351" s="47" t="str">
        <f t="shared" si="22"/>
        <v/>
      </c>
      <c r="O351" s="48" t="str">
        <f>IF(OR(C351="", B351=""), "",
  INDEX(RentTable, MATCH(B351, {0,1,2,3,4}, 0), MATCH(C351, {20,30,40,50,60,70,80}, 1))
)</f>
        <v/>
      </c>
      <c r="P351" s="60"/>
      <c r="Q351" s="48" t="str">
        <f t="shared" si="24"/>
        <v/>
      </c>
      <c r="R351" s="60"/>
      <c r="S351" s="60"/>
      <c r="T351" s="48" t="str">
        <f t="shared" si="21"/>
        <v/>
      </c>
      <c r="U351" s="42" t="str" cm="1">
        <f t="array" ref="U351">_xlfn.IFS(OR(Q351="", T351="", Q351=0, "", T351=0), "", AND(T351&lt;=Q351,D351&lt;=Q351), "Y", OR(T351&gt;Q351,D351&gt;Q351), "N")</f>
        <v/>
      </c>
      <c r="V351" s="62"/>
      <c r="W351" s="63"/>
    </row>
    <row r="352" spans="1:23" x14ac:dyDescent="0.25">
      <c r="A352" s="58"/>
      <c r="B352" s="59"/>
      <c r="C352" s="59"/>
      <c r="D352" s="60"/>
      <c r="E352" s="59"/>
      <c r="F352" s="59"/>
      <c r="G352" s="60"/>
      <c r="H352" s="43" t="str" cm="1">
        <f t="array" ref="H352">IF(OR(F352="", G352=""), "",
  _xlfn.LET(
    _xlpm.rowIndex, MATCH(F352, INDEX(IncomeTable,,1), 0),
    _xlpm.thresholds, INDEX(IncomeTable, _xlpm.rowIndex, 2):INDEX(IncomeTable, _xlpm.rowIndex, 8),
    _xlpm.labels, {20,30,40,50,60,70,80},
    _xlpm.income, G352,
    IF(_xlpm.income &lt; INDEX(_xlpm.thresholds,1), "Below 20%",
      IF(_xlpm.income &gt; INDEX(_xlpm.thresholds,7), "Above 80%",
        INDEX(_xlpm.labels, _xlfn.XLOOKUP(_xlpm.income, _xlpm.thresholds, _xlfn.SEQUENCE(1,7), , -1))
      )
    )
  )
)</f>
        <v/>
      </c>
      <c r="I352" s="42" t="str">
        <f t="shared" si="23"/>
        <v/>
      </c>
      <c r="J352" s="61"/>
      <c r="K352" s="61"/>
      <c r="L352" s="61"/>
      <c r="M352" s="61"/>
      <c r="N352" s="47" t="str">
        <f t="shared" si="22"/>
        <v/>
      </c>
      <c r="O352" s="48" t="str">
        <f>IF(OR(C352="", B352=""), "",
  INDEX(RentTable, MATCH(B352, {0,1,2,3,4}, 0), MATCH(C352, {20,30,40,50,60,70,80}, 1))
)</f>
        <v/>
      </c>
      <c r="P352" s="60"/>
      <c r="Q352" s="48" t="str">
        <f t="shared" si="24"/>
        <v/>
      </c>
      <c r="R352" s="60"/>
      <c r="S352" s="60"/>
      <c r="T352" s="48" t="str">
        <f t="shared" si="21"/>
        <v/>
      </c>
      <c r="U352" s="42" t="str" cm="1">
        <f t="array" ref="U352">_xlfn.IFS(OR(Q352="", T352="", Q352=0, "", T352=0), "", AND(T352&lt;=Q352,D352&lt;=Q352), "Y", OR(T352&gt;Q352,D352&gt;Q352), "N")</f>
        <v/>
      </c>
      <c r="V352" s="62"/>
      <c r="W352" s="63"/>
    </row>
    <row r="353" spans="1:23" x14ac:dyDescent="0.25">
      <c r="A353" s="58"/>
      <c r="B353" s="59"/>
      <c r="C353" s="59"/>
      <c r="D353" s="60"/>
      <c r="E353" s="59"/>
      <c r="F353" s="59"/>
      <c r="G353" s="60"/>
      <c r="H353" s="43" t="str" cm="1">
        <f t="array" ref="H353">IF(OR(F353="", G353=""), "",
  _xlfn.LET(
    _xlpm.rowIndex, MATCH(F353, INDEX(IncomeTable,,1), 0),
    _xlpm.thresholds, INDEX(IncomeTable, _xlpm.rowIndex, 2):INDEX(IncomeTable, _xlpm.rowIndex, 8),
    _xlpm.labels, {20,30,40,50,60,70,80},
    _xlpm.income, G353,
    IF(_xlpm.income &lt; INDEX(_xlpm.thresholds,1), "Below 20%",
      IF(_xlpm.income &gt; INDEX(_xlpm.thresholds,7), "Above 80%",
        INDEX(_xlpm.labels, _xlfn.XLOOKUP(_xlpm.income, _xlpm.thresholds, _xlfn.SEQUENCE(1,7), , -1))
      )
    )
  )
)</f>
        <v/>
      </c>
      <c r="I353" s="42" t="str">
        <f t="shared" si="23"/>
        <v/>
      </c>
      <c r="J353" s="61"/>
      <c r="K353" s="61"/>
      <c r="L353" s="61"/>
      <c r="M353" s="61"/>
      <c r="N353" s="47" t="str">
        <f t="shared" si="22"/>
        <v/>
      </c>
      <c r="O353" s="48" t="str">
        <f>IF(OR(C353="", B353=""), "",
  INDEX(RentTable, MATCH(B353, {0,1,2,3,4}, 0), MATCH(C353, {20,30,40,50,60,70,80}, 1))
)</f>
        <v/>
      </c>
      <c r="P353" s="60"/>
      <c r="Q353" s="48" t="str">
        <f t="shared" si="24"/>
        <v/>
      </c>
      <c r="R353" s="60"/>
      <c r="S353" s="60"/>
      <c r="T353" s="48" t="str">
        <f t="shared" si="21"/>
        <v/>
      </c>
      <c r="U353" s="42" t="str" cm="1">
        <f t="array" ref="U353">_xlfn.IFS(OR(Q353="", T353="", Q353=0, "", T353=0), "", AND(T353&lt;=Q353,D353&lt;=Q353), "Y", OR(T353&gt;Q353,D353&gt;Q353), "N")</f>
        <v/>
      </c>
      <c r="V353" s="62"/>
      <c r="W353" s="63"/>
    </row>
    <row r="354" spans="1:23" x14ac:dyDescent="0.25">
      <c r="A354" s="58"/>
      <c r="B354" s="59"/>
      <c r="C354" s="59"/>
      <c r="D354" s="60"/>
      <c r="E354" s="59"/>
      <c r="F354" s="59"/>
      <c r="G354" s="60"/>
      <c r="H354" s="43" t="str" cm="1">
        <f t="array" ref="H354">IF(OR(F354="", G354=""), "",
  _xlfn.LET(
    _xlpm.rowIndex, MATCH(F354, INDEX(IncomeTable,,1), 0),
    _xlpm.thresholds, INDEX(IncomeTable, _xlpm.rowIndex, 2):INDEX(IncomeTable, _xlpm.rowIndex, 8),
    _xlpm.labels, {20,30,40,50,60,70,80},
    _xlpm.income, G354,
    IF(_xlpm.income &lt; INDEX(_xlpm.thresholds,1), "Below 20%",
      IF(_xlpm.income &gt; INDEX(_xlpm.thresholds,7), "Above 80%",
        INDEX(_xlpm.labels, _xlfn.XLOOKUP(_xlpm.income, _xlpm.thresholds, _xlfn.SEQUENCE(1,7), , -1))
      )
    )
  )
)</f>
        <v/>
      </c>
      <c r="I354" s="42" t="str">
        <f t="shared" si="23"/>
        <v/>
      </c>
      <c r="J354" s="61"/>
      <c r="K354" s="61"/>
      <c r="L354" s="61"/>
      <c r="M354" s="61"/>
      <c r="N354" s="47" t="str">
        <f t="shared" si="22"/>
        <v/>
      </c>
      <c r="O354" s="48" t="str">
        <f>IF(OR(C354="", B354=""), "",
  INDEX(RentTable, MATCH(B354, {0,1,2,3,4}, 0), MATCH(C354, {20,30,40,50,60,70,80}, 1))
)</f>
        <v/>
      </c>
      <c r="P354" s="60"/>
      <c r="Q354" s="48" t="str">
        <f t="shared" si="24"/>
        <v/>
      </c>
      <c r="R354" s="60"/>
      <c r="S354" s="60"/>
      <c r="T354" s="48" t="str">
        <f t="shared" si="21"/>
        <v/>
      </c>
      <c r="U354" s="42" t="str" cm="1">
        <f t="array" ref="U354">_xlfn.IFS(OR(Q354="", T354="", Q354=0, "", T354=0), "", AND(T354&lt;=Q354,D354&lt;=Q354), "Y", OR(T354&gt;Q354,D354&gt;Q354), "N")</f>
        <v/>
      </c>
      <c r="V354" s="62"/>
      <c r="W354" s="63"/>
    </row>
    <row r="355" spans="1:23" x14ac:dyDescent="0.25">
      <c r="A355" s="58"/>
      <c r="B355" s="59"/>
      <c r="C355" s="59"/>
      <c r="D355" s="60"/>
      <c r="E355" s="59"/>
      <c r="F355" s="59"/>
      <c r="G355" s="60"/>
      <c r="H355" s="43" t="str" cm="1">
        <f t="array" ref="H355">IF(OR(F355="", G355=""), "",
  _xlfn.LET(
    _xlpm.rowIndex, MATCH(F355, INDEX(IncomeTable,,1), 0),
    _xlpm.thresholds, INDEX(IncomeTable, _xlpm.rowIndex, 2):INDEX(IncomeTable, _xlpm.rowIndex, 8),
    _xlpm.labels, {20,30,40,50,60,70,80},
    _xlpm.income, G355,
    IF(_xlpm.income &lt; INDEX(_xlpm.thresholds,1), "Below 20%",
      IF(_xlpm.income &gt; INDEX(_xlpm.thresholds,7), "Above 80%",
        INDEX(_xlpm.labels, _xlfn.XLOOKUP(_xlpm.income, _xlpm.thresholds, _xlfn.SEQUENCE(1,7), , -1))
      )
    )
  )
)</f>
        <v/>
      </c>
      <c r="I355" s="42" t="str">
        <f t="shared" si="23"/>
        <v/>
      </c>
      <c r="J355" s="61"/>
      <c r="K355" s="61"/>
      <c r="L355" s="61"/>
      <c r="M355" s="61"/>
      <c r="N355" s="47" t="str">
        <f t="shared" si="22"/>
        <v/>
      </c>
      <c r="O355" s="48" t="str">
        <f>IF(OR(C355="", B355=""), "",
  INDEX(RentTable, MATCH(B355, {0,1,2,3,4}, 0), MATCH(C355, {20,30,40,50,60,70,80}, 1))
)</f>
        <v/>
      </c>
      <c r="P355" s="60"/>
      <c r="Q355" s="48" t="str">
        <f t="shared" si="24"/>
        <v/>
      </c>
      <c r="R355" s="60"/>
      <c r="S355" s="60"/>
      <c r="T355" s="48" t="str">
        <f t="shared" si="21"/>
        <v/>
      </c>
      <c r="U355" s="42" t="str" cm="1">
        <f t="array" ref="U355">_xlfn.IFS(OR(Q355="", T355="", Q355=0, "", T355=0), "", AND(T355&lt;=Q355,D355&lt;=Q355), "Y", OR(T355&gt;Q355,D355&gt;Q355), "N")</f>
        <v/>
      </c>
      <c r="V355" s="62"/>
      <c r="W355" s="63"/>
    </row>
    <row r="356" spans="1:23" x14ac:dyDescent="0.25">
      <c r="A356" s="58"/>
      <c r="B356" s="59"/>
      <c r="C356" s="59"/>
      <c r="D356" s="60"/>
      <c r="E356" s="59"/>
      <c r="F356" s="59"/>
      <c r="G356" s="60"/>
      <c r="H356" s="43" t="str" cm="1">
        <f t="array" ref="H356">IF(OR(F356="", G356=""), "",
  _xlfn.LET(
    _xlpm.rowIndex, MATCH(F356, INDEX(IncomeTable,,1), 0),
    _xlpm.thresholds, INDEX(IncomeTable, _xlpm.rowIndex, 2):INDEX(IncomeTable, _xlpm.rowIndex, 8),
    _xlpm.labels, {20,30,40,50,60,70,80},
    _xlpm.income, G356,
    IF(_xlpm.income &lt; INDEX(_xlpm.thresholds,1), "Below 20%",
      IF(_xlpm.income &gt; INDEX(_xlpm.thresholds,7), "Above 80%",
        INDEX(_xlpm.labels, _xlfn.XLOOKUP(_xlpm.income, _xlpm.thresholds, _xlfn.SEQUENCE(1,7), , -1))
      )
    )
  )
)</f>
        <v/>
      </c>
      <c r="I356" s="42" t="str">
        <f t="shared" si="23"/>
        <v/>
      </c>
      <c r="J356" s="61"/>
      <c r="K356" s="61"/>
      <c r="L356" s="61"/>
      <c r="M356" s="61"/>
      <c r="N356" s="47" t="str">
        <f t="shared" si="22"/>
        <v/>
      </c>
      <c r="O356" s="48" t="str">
        <f>IF(OR(C356="", B356=""), "",
  INDEX(RentTable, MATCH(B356, {0,1,2,3,4}, 0), MATCH(C356, {20,30,40,50,60,70,80}, 1))
)</f>
        <v/>
      </c>
      <c r="P356" s="60"/>
      <c r="Q356" s="48" t="str">
        <f t="shared" si="24"/>
        <v/>
      </c>
      <c r="R356" s="60"/>
      <c r="S356" s="60"/>
      <c r="T356" s="48" t="str">
        <f t="shared" si="21"/>
        <v/>
      </c>
      <c r="U356" s="42" t="str" cm="1">
        <f t="array" ref="U356">_xlfn.IFS(OR(Q356="", T356="", Q356=0, "", T356=0), "", AND(T356&lt;=Q356,D356&lt;=Q356), "Y", OR(T356&gt;Q356,D356&gt;Q356), "N")</f>
        <v/>
      </c>
      <c r="V356" s="62"/>
      <c r="W356" s="63"/>
    </row>
    <row r="357" spans="1:23" x14ac:dyDescent="0.25">
      <c r="A357" s="58"/>
      <c r="B357" s="59"/>
      <c r="C357" s="59"/>
      <c r="D357" s="60"/>
      <c r="E357" s="59"/>
      <c r="F357" s="59"/>
      <c r="G357" s="60"/>
      <c r="H357" s="43" t="str" cm="1">
        <f t="array" ref="H357">IF(OR(F357="", G357=""), "",
  _xlfn.LET(
    _xlpm.rowIndex, MATCH(F357, INDEX(IncomeTable,,1), 0),
    _xlpm.thresholds, INDEX(IncomeTable, _xlpm.rowIndex, 2):INDEX(IncomeTable, _xlpm.rowIndex, 8),
    _xlpm.labels, {20,30,40,50,60,70,80},
    _xlpm.income, G357,
    IF(_xlpm.income &lt; INDEX(_xlpm.thresholds,1), "Below 20%",
      IF(_xlpm.income &gt; INDEX(_xlpm.thresholds,7), "Above 80%",
        INDEX(_xlpm.labels, _xlfn.XLOOKUP(_xlpm.income, _xlpm.thresholds, _xlfn.SEQUENCE(1,7), , -1))
      )
    )
  )
)</f>
        <v/>
      </c>
      <c r="I357" s="42" t="str">
        <f t="shared" si="23"/>
        <v/>
      </c>
      <c r="J357" s="61"/>
      <c r="K357" s="61"/>
      <c r="L357" s="61"/>
      <c r="M357" s="61"/>
      <c r="N357" s="47" t="str">
        <f t="shared" si="22"/>
        <v/>
      </c>
      <c r="O357" s="48" t="str">
        <f>IF(OR(C357="", B357=""), "",
  INDEX(RentTable, MATCH(B357, {0,1,2,3,4}, 0), MATCH(C357, {20,30,40,50,60,70,80}, 1))
)</f>
        <v/>
      </c>
      <c r="P357" s="60"/>
      <c r="Q357" s="48" t="str">
        <f t="shared" si="24"/>
        <v/>
      </c>
      <c r="R357" s="60"/>
      <c r="S357" s="60"/>
      <c r="T357" s="48" t="str">
        <f t="shared" si="21"/>
        <v/>
      </c>
      <c r="U357" s="42" t="str" cm="1">
        <f t="array" ref="U357">_xlfn.IFS(OR(Q357="", T357="", Q357=0, "", T357=0), "", AND(T357&lt;=Q357,D357&lt;=Q357), "Y", OR(T357&gt;Q357,D357&gt;Q357), "N")</f>
        <v/>
      </c>
      <c r="V357" s="62"/>
      <c r="W357" s="63"/>
    </row>
    <row r="358" spans="1:23" x14ac:dyDescent="0.25">
      <c r="A358" s="58"/>
      <c r="B358" s="59"/>
      <c r="C358" s="59"/>
      <c r="D358" s="60"/>
      <c r="E358" s="59"/>
      <c r="F358" s="59"/>
      <c r="G358" s="60"/>
      <c r="H358" s="43" t="str" cm="1">
        <f t="array" ref="H358">IF(OR(F358="", G358=""), "",
  _xlfn.LET(
    _xlpm.rowIndex, MATCH(F358, INDEX(IncomeTable,,1), 0),
    _xlpm.thresholds, INDEX(IncomeTable, _xlpm.rowIndex, 2):INDEX(IncomeTable, _xlpm.rowIndex, 8),
    _xlpm.labels, {20,30,40,50,60,70,80},
    _xlpm.income, G358,
    IF(_xlpm.income &lt; INDEX(_xlpm.thresholds,1), "Below 20%",
      IF(_xlpm.income &gt; INDEX(_xlpm.thresholds,7), "Above 80%",
        INDEX(_xlpm.labels, _xlfn.XLOOKUP(_xlpm.income, _xlpm.thresholds, _xlfn.SEQUENCE(1,7), , -1))
      )
    )
  )
)</f>
        <v/>
      </c>
      <c r="I358" s="42" t="str">
        <f t="shared" si="23"/>
        <v/>
      </c>
      <c r="J358" s="61"/>
      <c r="K358" s="61"/>
      <c r="L358" s="61"/>
      <c r="M358" s="61"/>
      <c r="N358" s="47" t="str">
        <f t="shared" si="22"/>
        <v/>
      </c>
      <c r="O358" s="48" t="str">
        <f>IF(OR(C358="", B358=""), "",
  INDEX(RentTable, MATCH(B358, {0,1,2,3,4}, 0), MATCH(C358, {20,30,40,50,60,70,80}, 1))
)</f>
        <v/>
      </c>
      <c r="P358" s="60"/>
      <c r="Q358" s="48" t="str">
        <f t="shared" si="24"/>
        <v/>
      </c>
      <c r="R358" s="60"/>
      <c r="S358" s="60"/>
      <c r="T358" s="48" t="str">
        <f t="shared" si="21"/>
        <v/>
      </c>
      <c r="U358" s="42" t="str" cm="1">
        <f t="array" ref="U358">_xlfn.IFS(OR(Q358="", T358="", Q358=0, "", T358=0), "", AND(T358&lt;=Q358,D358&lt;=Q358), "Y", OR(T358&gt;Q358,D358&gt;Q358), "N")</f>
        <v/>
      </c>
      <c r="V358" s="62"/>
      <c r="W358" s="63"/>
    </row>
    <row r="359" spans="1:23" x14ac:dyDescent="0.25">
      <c r="A359" s="58"/>
      <c r="B359" s="59"/>
      <c r="C359" s="59"/>
      <c r="D359" s="60"/>
      <c r="E359" s="59"/>
      <c r="F359" s="59"/>
      <c r="G359" s="60"/>
      <c r="H359" s="43" t="str" cm="1">
        <f t="array" ref="H359">IF(OR(F359="", G359=""), "",
  _xlfn.LET(
    _xlpm.rowIndex, MATCH(F359, INDEX(IncomeTable,,1), 0),
    _xlpm.thresholds, INDEX(IncomeTable, _xlpm.rowIndex, 2):INDEX(IncomeTable, _xlpm.rowIndex, 8),
    _xlpm.labels, {20,30,40,50,60,70,80},
    _xlpm.income, G359,
    IF(_xlpm.income &lt; INDEX(_xlpm.thresholds,1), "Below 20%",
      IF(_xlpm.income &gt; INDEX(_xlpm.thresholds,7), "Above 80%",
        INDEX(_xlpm.labels, _xlfn.XLOOKUP(_xlpm.income, _xlpm.thresholds, _xlfn.SEQUENCE(1,7), , -1))
      )
    )
  )
)</f>
        <v/>
      </c>
      <c r="I359" s="42" t="str">
        <f t="shared" si="23"/>
        <v/>
      </c>
      <c r="J359" s="61"/>
      <c r="K359" s="61"/>
      <c r="L359" s="61"/>
      <c r="M359" s="61"/>
      <c r="N359" s="47" t="str">
        <f t="shared" si="22"/>
        <v/>
      </c>
      <c r="O359" s="48" t="str">
        <f>IF(OR(C359="", B359=""), "",
  INDEX(RentTable, MATCH(B359, {0,1,2,3,4}, 0), MATCH(C359, {20,30,40,50,60,70,80}, 1))
)</f>
        <v/>
      </c>
      <c r="P359" s="60"/>
      <c r="Q359" s="48" t="str">
        <f t="shared" si="24"/>
        <v/>
      </c>
      <c r="R359" s="60"/>
      <c r="S359" s="60"/>
      <c r="T359" s="48" t="str">
        <f t="shared" si="21"/>
        <v/>
      </c>
      <c r="U359" s="42" t="str" cm="1">
        <f t="array" ref="U359">_xlfn.IFS(OR(Q359="", T359="", Q359=0, "", T359=0), "", AND(T359&lt;=Q359,D359&lt;=Q359), "Y", OR(T359&gt;Q359,D359&gt;Q359), "N")</f>
        <v/>
      </c>
      <c r="V359" s="62"/>
      <c r="W359" s="63"/>
    </row>
    <row r="360" spans="1:23" x14ac:dyDescent="0.25">
      <c r="A360" s="58"/>
      <c r="B360" s="59"/>
      <c r="C360" s="59"/>
      <c r="D360" s="60"/>
      <c r="E360" s="59"/>
      <c r="F360" s="59"/>
      <c r="G360" s="60"/>
      <c r="H360" s="43" t="str" cm="1">
        <f t="array" ref="H360">IF(OR(F360="", G360=""), "",
  _xlfn.LET(
    _xlpm.rowIndex, MATCH(F360, INDEX(IncomeTable,,1), 0),
    _xlpm.thresholds, INDEX(IncomeTable, _xlpm.rowIndex, 2):INDEX(IncomeTable, _xlpm.rowIndex, 8),
    _xlpm.labels, {20,30,40,50,60,70,80},
    _xlpm.income, G360,
    IF(_xlpm.income &lt; INDEX(_xlpm.thresholds,1), "Below 20%",
      IF(_xlpm.income &gt; INDEX(_xlpm.thresholds,7), "Above 80%",
        INDEX(_xlpm.labels, _xlfn.XLOOKUP(_xlpm.income, _xlpm.thresholds, _xlfn.SEQUENCE(1,7), , -1))
      )
    )
  )
)</f>
        <v/>
      </c>
      <c r="I360" s="42" t="str">
        <f t="shared" si="23"/>
        <v/>
      </c>
      <c r="J360" s="61"/>
      <c r="K360" s="61"/>
      <c r="L360" s="61"/>
      <c r="M360" s="61"/>
      <c r="N360" s="47" t="str">
        <f t="shared" si="22"/>
        <v/>
      </c>
      <c r="O360" s="48" t="str">
        <f>IF(OR(C360="", B360=""), "",
  INDEX(RentTable, MATCH(B360, {0,1,2,3,4}, 0), MATCH(C360, {20,30,40,50,60,70,80}, 1))
)</f>
        <v/>
      </c>
      <c r="P360" s="60"/>
      <c r="Q360" s="48" t="str">
        <f t="shared" si="24"/>
        <v/>
      </c>
      <c r="R360" s="60"/>
      <c r="S360" s="60"/>
      <c r="T360" s="48" t="str">
        <f t="shared" si="21"/>
        <v/>
      </c>
      <c r="U360" s="42" t="str" cm="1">
        <f t="array" ref="U360">_xlfn.IFS(OR(Q360="", T360="", Q360=0, "", T360=0), "", AND(T360&lt;=Q360,D360&lt;=Q360), "Y", OR(T360&gt;Q360,D360&gt;Q360), "N")</f>
        <v/>
      </c>
      <c r="V360" s="62"/>
      <c r="W360" s="63"/>
    </row>
    <row r="361" spans="1:23" x14ac:dyDescent="0.25">
      <c r="A361" s="58"/>
      <c r="B361" s="59"/>
      <c r="C361" s="59"/>
      <c r="D361" s="60"/>
      <c r="E361" s="59"/>
      <c r="F361" s="59"/>
      <c r="G361" s="60"/>
      <c r="H361" s="43" t="str" cm="1">
        <f t="array" ref="H361">IF(OR(F361="", G361=""), "",
  _xlfn.LET(
    _xlpm.rowIndex, MATCH(F361, INDEX(IncomeTable,,1), 0),
    _xlpm.thresholds, INDEX(IncomeTable, _xlpm.rowIndex, 2):INDEX(IncomeTable, _xlpm.rowIndex, 8),
    _xlpm.labels, {20,30,40,50,60,70,80},
    _xlpm.income, G361,
    IF(_xlpm.income &lt; INDEX(_xlpm.thresholds,1), "Below 20%",
      IF(_xlpm.income &gt; INDEX(_xlpm.thresholds,7), "Above 80%",
        INDEX(_xlpm.labels, _xlfn.XLOOKUP(_xlpm.income, _xlpm.thresholds, _xlfn.SEQUENCE(1,7), , -1))
      )
    )
  )
)</f>
        <v/>
      </c>
      <c r="I361" s="42" t="str">
        <f t="shared" si="23"/>
        <v/>
      </c>
      <c r="J361" s="61"/>
      <c r="K361" s="61"/>
      <c r="L361" s="61"/>
      <c r="M361" s="61"/>
      <c r="N361" s="47" t="str">
        <f t="shared" si="22"/>
        <v/>
      </c>
      <c r="O361" s="48" t="str">
        <f>IF(OR(C361="", B361=""), "",
  INDEX(RentTable, MATCH(B361, {0,1,2,3,4}, 0), MATCH(C361, {20,30,40,50,60,70,80}, 1))
)</f>
        <v/>
      </c>
      <c r="P361" s="60"/>
      <c r="Q361" s="48" t="str">
        <f t="shared" si="24"/>
        <v/>
      </c>
      <c r="R361" s="60"/>
      <c r="S361" s="60"/>
      <c r="T361" s="48" t="str">
        <f t="shared" si="21"/>
        <v/>
      </c>
      <c r="U361" s="42" t="str" cm="1">
        <f t="array" ref="U361">_xlfn.IFS(OR(Q361="", T361="", Q361=0, "", T361=0), "", AND(T361&lt;=Q361,D361&lt;=Q361), "Y", OR(T361&gt;Q361,D361&gt;Q361), "N")</f>
        <v/>
      </c>
      <c r="V361" s="62"/>
      <c r="W361" s="63"/>
    </row>
    <row r="362" spans="1:23" x14ac:dyDescent="0.25">
      <c r="A362" s="58"/>
      <c r="B362" s="59"/>
      <c r="C362" s="59"/>
      <c r="D362" s="60"/>
      <c r="E362" s="59"/>
      <c r="F362" s="59"/>
      <c r="G362" s="60"/>
      <c r="H362" s="43" t="str" cm="1">
        <f t="array" ref="H362">IF(OR(F362="", G362=""), "",
  _xlfn.LET(
    _xlpm.rowIndex, MATCH(F362, INDEX(IncomeTable,,1), 0),
    _xlpm.thresholds, INDEX(IncomeTable, _xlpm.rowIndex, 2):INDEX(IncomeTable, _xlpm.rowIndex, 8),
    _xlpm.labels, {20,30,40,50,60,70,80},
    _xlpm.income, G362,
    IF(_xlpm.income &lt; INDEX(_xlpm.thresholds,1), "Below 20%",
      IF(_xlpm.income &gt; INDEX(_xlpm.thresholds,7), "Above 80%",
        INDEX(_xlpm.labels, _xlfn.XLOOKUP(_xlpm.income, _xlpm.thresholds, _xlfn.SEQUENCE(1,7), , -1))
      )
    )
  )
)</f>
        <v/>
      </c>
      <c r="I362" s="42" t="str">
        <f t="shared" si="23"/>
        <v/>
      </c>
      <c r="J362" s="61"/>
      <c r="K362" s="61"/>
      <c r="L362" s="61"/>
      <c r="M362" s="61"/>
      <c r="N362" s="47" t="str">
        <f t="shared" si="22"/>
        <v/>
      </c>
      <c r="O362" s="48" t="str">
        <f>IF(OR(C362="", B362=""), "",
  INDEX(RentTable, MATCH(B362, {0,1,2,3,4}, 0), MATCH(C362, {20,30,40,50,60,70,80}, 1))
)</f>
        <v/>
      </c>
      <c r="P362" s="60"/>
      <c r="Q362" s="48" t="str">
        <f t="shared" si="24"/>
        <v/>
      </c>
      <c r="R362" s="60"/>
      <c r="S362" s="60"/>
      <c r="T362" s="48" t="str">
        <f t="shared" si="21"/>
        <v/>
      </c>
      <c r="U362" s="42" t="str" cm="1">
        <f t="array" ref="U362">_xlfn.IFS(OR(Q362="", T362="", Q362=0, "", T362=0), "", AND(T362&lt;=Q362,D362&lt;=Q362), "Y", OR(T362&gt;Q362,D362&gt;Q362), "N")</f>
        <v/>
      </c>
      <c r="V362" s="62"/>
      <c r="W362" s="63"/>
    </row>
    <row r="363" spans="1:23" x14ac:dyDescent="0.25">
      <c r="A363" s="58"/>
      <c r="B363" s="59"/>
      <c r="C363" s="59"/>
      <c r="D363" s="60"/>
      <c r="E363" s="59"/>
      <c r="F363" s="59"/>
      <c r="G363" s="60"/>
      <c r="H363" s="43" t="str" cm="1">
        <f t="array" ref="H363">IF(OR(F363="", G363=""), "",
  _xlfn.LET(
    _xlpm.rowIndex, MATCH(F363, INDEX(IncomeTable,,1), 0),
    _xlpm.thresholds, INDEX(IncomeTable, _xlpm.rowIndex, 2):INDEX(IncomeTable, _xlpm.rowIndex, 8),
    _xlpm.labels, {20,30,40,50,60,70,80},
    _xlpm.income, G363,
    IF(_xlpm.income &lt; INDEX(_xlpm.thresholds,1), "Below 20%",
      IF(_xlpm.income &gt; INDEX(_xlpm.thresholds,7), "Above 80%",
        INDEX(_xlpm.labels, _xlfn.XLOOKUP(_xlpm.income, _xlpm.thresholds, _xlfn.SEQUENCE(1,7), , -1))
      )
    )
  )
)</f>
        <v/>
      </c>
      <c r="I363" s="42" t="str">
        <f t="shared" si="23"/>
        <v/>
      </c>
      <c r="J363" s="61"/>
      <c r="K363" s="61"/>
      <c r="L363" s="61"/>
      <c r="M363" s="61"/>
      <c r="N363" s="47" t="str">
        <f t="shared" si="22"/>
        <v/>
      </c>
      <c r="O363" s="48" t="str">
        <f>IF(OR(C363="", B363=""), "",
  INDEX(RentTable, MATCH(B363, {0,1,2,3,4}, 0), MATCH(C363, {20,30,40,50,60,70,80}, 1))
)</f>
        <v/>
      </c>
      <c r="P363" s="60"/>
      <c r="Q363" s="48" t="str">
        <f t="shared" si="24"/>
        <v/>
      </c>
      <c r="R363" s="60"/>
      <c r="S363" s="60"/>
      <c r="T363" s="48" t="str">
        <f t="shared" si="21"/>
        <v/>
      </c>
      <c r="U363" s="42" t="str" cm="1">
        <f t="array" ref="U363">_xlfn.IFS(OR(Q363="", T363="", Q363=0, "", T363=0), "", AND(T363&lt;=Q363,D363&lt;=Q363), "Y", OR(T363&gt;Q363,D363&gt;Q363), "N")</f>
        <v/>
      </c>
      <c r="V363" s="62"/>
      <c r="W363" s="63"/>
    </row>
    <row r="364" spans="1:23" x14ac:dyDescent="0.25">
      <c r="A364" s="58"/>
      <c r="B364" s="59"/>
      <c r="C364" s="59"/>
      <c r="D364" s="60"/>
      <c r="E364" s="59"/>
      <c r="F364" s="59"/>
      <c r="G364" s="60"/>
      <c r="H364" s="43" t="str" cm="1">
        <f t="array" ref="H364">IF(OR(F364="", G364=""), "",
  _xlfn.LET(
    _xlpm.rowIndex, MATCH(F364, INDEX(IncomeTable,,1), 0),
    _xlpm.thresholds, INDEX(IncomeTable, _xlpm.rowIndex, 2):INDEX(IncomeTable, _xlpm.rowIndex, 8),
    _xlpm.labels, {20,30,40,50,60,70,80},
    _xlpm.income, G364,
    IF(_xlpm.income &lt; INDEX(_xlpm.thresholds,1), "Below 20%",
      IF(_xlpm.income &gt; INDEX(_xlpm.thresholds,7), "Above 80%",
        INDEX(_xlpm.labels, _xlfn.XLOOKUP(_xlpm.income, _xlpm.thresholds, _xlfn.SEQUENCE(1,7), , -1))
      )
    )
  )
)</f>
        <v/>
      </c>
      <c r="I364" s="42" t="str">
        <f t="shared" si="23"/>
        <v/>
      </c>
      <c r="J364" s="61"/>
      <c r="K364" s="61"/>
      <c r="L364" s="61"/>
      <c r="M364" s="61"/>
      <c r="N364" s="47" t="str">
        <f t="shared" si="22"/>
        <v/>
      </c>
      <c r="O364" s="48" t="str">
        <f>IF(OR(C364="", B364=""), "",
  INDEX(RentTable, MATCH(B364, {0,1,2,3,4}, 0), MATCH(C364, {20,30,40,50,60,70,80}, 1))
)</f>
        <v/>
      </c>
      <c r="P364" s="60"/>
      <c r="Q364" s="48" t="str">
        <f t="shared" si="24"/>
        <v/>
      </c>
      <c r="R364" s="60"/>
      <c r="S364" s="60"/>
      <c r="T364" s="48" t="str">
        <f t="shared" si="21"/>
        <v/>
      </c>
      <c r="U364" s="42" t="str" cm="1">
        <f t="array" ref="U364">_xlfn.IFS(OR(Q364="", T364="", Q364=0, "", T364=0), "", AND(T364&lt;=Q364,D364&lt;=Q364), "Y", OR(T364&gt;Q364,D364&gt;Q364), "N")</f>
        <v/>
      </c>
      <c r="V364" s="62"/>
      <c r="W364" s="63"/>
    </row>
    <row r="365" spans="1:23" x14ac:dyDescent="0.25">
      <c r="A365" s="58"/>
      <c r="B365" s="59"/>
      <c r="C365" s="59"/>
      <c r="D365" s="60"/>
      <c r="E365" s="59"/>
      <c r="F365" s="59"/>
      <c r="G365" s="60"/>
      <c r="H365" s="43" t="str" cm="1">
        <f t="array" ref="H365">IF(OR(F365="", G365=""), "",
  _xlfn.LET(
    _xlpm.rowIndex, MATCH(F365, INDEX(IncomeTable,,1), 0),
    _xlpm.thresholds, INDEX(IncomeTable, _xlpm.rowIndex, 2):INDEX(IncomeTable, _xlpm.rowIndex, 8),
    _xlpm.labels, {20,30,40,50,60,70,80},
    _xlpm.income, G365,
    IF(_xlpm.income &lt; INDEX(_xlpm.thresholds,1), "Below 20%",
      IF(_xlpm.income &gt; INDEX(_xlpm.thresholds,7), "Above 80%",
        INDEX(_xlpm.labels, _xlfn.XLOOKUP(_xlpm.income, _xlpm.thresholds, _xlfn.SEQUENCE(1,7), , -1))
      )
    )
  )
)</f>
        <v/>
      </c>
      <c r="I365" s="42" t="str">
        <f t="shared" si="23"/>
        <v/>
      </c>
      <c r="J365" s="61"/>
      <c r="K365" s="61"/>
      <c r="L365" s="61"/>
      <c r="M365" s="61"/>
      <c r="N365" s="47" t="str">
        <f t="shared" si="22"/>
        <v/>
      </c>
      <c r="O365" s="48" t="str">
        <f>IF(OR(C365="", B365=""), "",
  INDEX(RentTable, MATCH(B365, {0,1,2,3,4}, 0), MATCH(C365, {20,30,40,50,60,70,80}, 1))
)</f>
        <v/>
      </c>
      <c r="P365" s="60"/>
      <c r="Q365" s="48" t="str">
        <f t="shared" si="24"/>
        <v/>
      </c>
      <c r="R365" s="60"/>
      <c r="S365" s="60"/>
      <c r="T365" s="48" t="str">
        <f t="shared" si="21"/>
        <v/>
      </c>
      <c r="U365" s="42" t="str" cm="1">
        <f t="array" ref="U365">_xlfn.IFS(OR(Q365="", T365="", Q365=0, "", T365=0), "", AND(T365&lt;=Q365,D365&lt;=Q365), "Y", OR(T365&gt;Q365,D365&gt;Q365), "N")</f>
        <v/>
      </c>
      <c r="V365" s="62"/>
      <c r="W365" s="63"/>
    </row>
    <row r="366" spans="1:23" x14ac:dyDescent="0.25">
      <c r="A366" s="58"/>
      <c r="B366" s="59"/>
      <c r="C366" s="59"/>
      <c r="D366" s="60"/>
      <c r="E366" s="59"/>
      <c r="F366" s="59"/>
      <c r="G366" s="60"/>
      <c r="H366" s="43" t="str" cm="1">
        <f t="array" ref="H366">IF(OR(F366="", G366=""), "",
  _xlfn.LET(
    _xlpm.rowIndex, MATCH(F366, INDEX(IncomeTable,,1), 0),
    _xlpm.thresholds, INDEX(IncomeTable, _xlpm.rowIndex, 2):INDEX(IncomeTable, _xlpm.rowIndex, 8),
    _xlpm.labels, {20,30,40,50,60,70,80},
    _xlpm.income, G366,
    IF(_xlpm.income &lt; INDEX(_xlpm.thresholds,1), "Below 20%",
      IF(_xlpm.income &gt; INDEX(_xlpm.thresholds,7), "Above 80%",
        INDEX(_xlpm.labels, _xlfn.XLOOKUP(_xlpm.income, _xlpm.thresholds, _xlfn.SEQUENCE(1,7), , -1))
      )
    )
  )
)</f>
        <v/>
      </c>
      <c r="I366" s="42" t="str">
        <f t="shared" si="23"/>
        <v/>
      </c>
      <c r="J366" s="61"/>
      <c r="K366" s="61"/>
      <c r="L366" s="61"/>
      <c r="M366" s="61"/>
      <c r="N366" s="47" t="str">
        <f t="shared" si="22"/>
        <v/>
      </c>
      <c r="O366" s="48" t="str">
        <f>IF(OR(C366="", B366=""), "",
  INDEX(RentTable, MATCH(B366, {0,1,2,3,4}, 0), MATCH(C366, {20,30,40,50,60,70,80}, 1))
)</f>
        <v/>
      </c>
      <c r="P366" s="60"/>
      <c r="Q366" s="48" t="str">
        <f t="shared" si="24"/>
        <v/>
      </c>
      <c r="R366" s="60"/>
      <c r="S366" s="60"/>
      <c r="T366" s="48" t="str">
        <f t="shared" si="21"/>
        <v/>
      </c>
      <c r="U366" s="42" t="str" cm="1">
        <f t="array" ref="U366">_xlfn.IFS(OR(Q366="", T366="", Q366=0, "", T366=0), "", AND(T366&lt;=Q366,D366&lt;=Q366), "Y", OR(T366&gt;Q366,D366&gt;Q366), "N")</f>
        <v/>
      </c>
      <c r="V366" s="62"/>
      <c r="W366" s="63"/>
    </row>
    <row r="367" spans="1:23" x14ac:dyDescent="0.25">
      <c r="A367" s="58"/>
      <c r="B367" s="59"/>
      <c r="C367" s="59"/>
      <c r="D367" s="60"/>
      <c r="E367" s="59"/>
      <c r="F367" s="59"/>
      <c r="G367" s="60"/>
      <c r="H367" s="43" t="str" cm="1">
        <f t="array" ref="H367">IF(OR(F367="", G367=""), "",
  _xlfn.LET(
    _xlpm.rowIndex, MATCH(F367, INDEX(IncomeTable,,1), 0),
    _xlpm.thresholds, INDEX(IncomeTable, _xlpm.rowIndex, 2):INDEX(IncomeTable, _xlpm.rowIndex, 8),
    _xlpm.labels, {20,30,40,50,60,70,80},
    _xlpm.income, G367,
    IF(_xlpm.income &lt; INDEX(_xlpm.thresholds,1), "Below 20%",
      IF(_xlpm.income &gt; INDEX(_xlpm.thresholds,7), "Above 80%",
        INDEX(_xlpm.labels, _xlfn.XLOOKUP(_xlpm.income, _xlpm.thresholds, _xlfn.SEQUENCE(1,7), , -1))
      )
    )
  )
)</f>
        <v/>
      </c>
      <c r="I367" s="42" t="str">
        <f t="shared" si="23"/>
        <v/>
      </c>
      <c r="J367" s="61"/>
      <c r="K367" s="61"/>
      <c r="L367" s="61"/>
      <c r="M367" s="61"/>
      <c r="N367" s="47" t="str">
        <f t="shared" si="22"/>
        <v/>
      </c>
      <c r="O367" s="48" t="str">
        <f>IF(OR(C367="", B367=""), "",
  INDEX(RentTable, MATCH(B367, {0,1,2,3,4}, 0), MATCH(C367, {20,30,40,50,60,70,80}, 1))
)</f>
        <v/>
      </c>
      <c r="P367" s="60"/>
      <c r="Q367" s="48" t="str">
        <f t="shared" si="24"/>
        <v/>
      </c>
      <c r="R367" s="60"/>
      <c r="S367" s="60"/>
      <c r="T367" s="48" t="str">
        <f t="shared" si="21"/>
        <v/>
      </c>
      <c r="U367" s="42" t="str" cm="1">
        <f t="array" ref="U367">_xlfn.IFS(OR(Q367="", T367="", Q367=0, "", T367=0), "", AND(T367&lt;=Q367,D367&lt;=Q367), "Y", OR(T367&gt;Q367,D367&gt;Q367), "N")</f>
        <v/>
      </c>
      <c r="V367" s="62"/>
      <c r="W367" s="63"/>
    </row>
    <row r="368" spans="1:23" x14ac:dyDescent="0.25">
      <c r="A368" s="58"/>
      <c r="B368" s="59"/>
      <c r="C368" s="59"/>
      <c r="D368" s="60"/>
      <c r="E368" s="59"/>
      <c r="F368" s="59"/>
      <c r="G368" s="60"/>
      <c r="H368" s="43" t="str" cm="1">
        <f t="array" ref="H368">IF(OR(F368="", G368=""), "",
  _xlfn.LET(
    _xlpm.rowIndex, MATCH(F368, INDEX(IncomeTable,,1), 0),
    _xlpm.thresholds, INDEX(IncomeTable, _xlpm.rowIndex, 2):INDEX(IncomeTable, _xlpm.rowIndex, 8),
    _xlpm.labels, {20,30,40,50,60,70,80},
    _xlpm.income, G368,
    IF(_xlpm.income &lt; INDEX(_xlpm.thresholds,1), "Below 20%",
      IF(_xlpm.income &gt; INDEX(_xlpm.thresholds,7), "Above 80%",
        INDEX(_xlpm.labels, _xlfn.XLOOKUP(_xlpm.income, _xlpm.thresholds, _xlfn.SEQUENCE(1,7), , -1))
      )
    )
  )
)</f>
        <v/>
      </c>
      <c r="I368" s="42" t="str">
        <f t="shared" si="23"/>
        <v/>
      </c>
      <c r="J368" s="61"/>
      <c r="K368" s="61"/>
      <c r="L368" s="61"/>
      <c r="M368" s="61"/>
      <c r="N368" s="47" t="str">
        <f t="shared" si="22"/>
        <v/>
      </c>
      <c r="O368" s="48" t="str">
        <f>IF(OR(C368="", B368=""), "",
  INDEX(RentTable, MATCH(B368, {0,1,2,3,4}, 0), MATCH(C368, {20,30,40,50,60,70,80}, 1))
)</f>
        <v/>
      </c>
      <c r="P368" s="60"/>
      <c r="Q368" s="48" t="str">
        <f t="shared" si="24"/>
        <v/>
      </c>
      <c r="R368" s="60"/>
      <c r="S368" s="60"/>
      <c r="T368" s="48" t="str">
        <f t="shared" si="21"/>
        <v/>
      </c>
      <c r="U368" s="42" t="str" cm="1">
        <f t="array" ref="U368">_xlfn.IFS(OR(Q368="", T368="", Q368=0, "", T368=0), "", AND(T368&lt;=Q368,D368&lt;=Q368), "Y", OR(T368&gt;Q368,D368&gt;Q368), "N")</f>
        <v/>
      </c>
      <c r="V368" s="62"/>
      <c r="W368" s="63"/>
    </row>
    <row r="369" spans="1:23" x14ac:dyDescent="0.25">
      <c r="A369" s="58"/>
      <c r="B369" s="59"/>
      <c r="C369" s="59"/>
      <c r="D369" s="60"/>
      <c r="E369" s="59"/>
      <c r="F369" s="59"/>
      <c r="G369" s="60"/>
      <c r="H369" s="43" t="str" cm="1">
        <f t="array" ref="H369">IF(OR(F369="", G369=""), "",
  _xlfn.LET(
    _xlpm.rowIndex, MATCH(F369, INDEX(IncomeTable,,1), 0),
    _xlpm.thresholds, INDEX(IncomeTable, _xlpm.rowIndex, 2):INDEX(IncomeTable, _xlpm.rowIndex, 8),
    _xlpm.labels, {20,30,40,50,60,70,80},
    _xlpm.income, G369,
    IF(_xlpm.income &lt; INDEX(_xlpm.thresholds,1), "Below 20%",
      IF(_xlpm.income &gt; INDEX(_xlpm.thresholds,7), "Above 80%",
        INDEX(_xlpm.labels, _xlfn.XLOOKUP(_xlpm.income, _xlpm.thresholds, _xlfn.SEQUENCE(1,7), , -1))
      )
    )
  )
)</f>
        <v/>
      </c>
      <c r="I369" s="42" t="str">
        <f t="shared" si="23"/>
        <v/>
      </c>
      <c r="J369" s="61"/>
      <c r="K369" s="61"/>
      <c r="L369" s="61"/>
      <c r="M369" s="61"/>
      <c r="N369" s="47" t="str">
        <f t="shared" si="22"/>
        <v/>
      </c>
      <c r="O369" s="48" t="str">
        <f>IF(OR(C369="", B369=""), "",
  INDEX(RentTable, MATCH(B369, {0,1,2,3,4}, 0), MATCH(C369, {20,30,40,50,60,70,80}, 1))
)</f>
        <v/>
      </c>
      <c r="P369" s="60"/>
      <c r="Q369" s="48" t="str">
        <f t="shared" si="24"/>
        <v/>
      </c>
      <c r="R369" s="60"/>
      <c r="S369" s="60"/>
      <c r="T369" s="48" t="str">
        <f t="shared" si="21"/>
        <v/>
      </c>
      <c r="U369" s="42" t="str" cm="1">
        <f t="array" ref="U369">_xlfn.IFS(OR(Q369="", T369="", Q369=0, "", T369=0), "", AND(T369&lt;=Q369,D369&lt;=Q369), "Y", OR(T369&gt;Q369,D369&gt;Q369), "N")</f>
        <v/>
      </c>
      <c r="V369" s="62"/>
      <c r="W369" s="63"/>
    </row>
    <row r="370" spans="1:23" x14ac:dyDescent="0.25">
      <c r="A370" s="58"/>
      <c r="B370" s="59"/>
      <c r="C370" s="59"/>
      <c r="D370" s="60"/>
      <c r="E370" s="59"/>
      <c r="F370" s="59"/>
      <c r="G370" s="60"/>
      <c r="H370" s="43" t="str" cm="1">
        <f t="array" ref="H370">IF(OR(F370="", G370=""), "",
  _xlfn.LET(
    _xlpm.rowIndex, MATCH(F370, INDEX(IncomeTable,,1), 0),
    _xlpm.thresholds, INDEX(IncomeTable, _xlpm.rowIndex, 2):INDEX(IncomeTable, _xlpm.rowIndex, 8),
    _xlpm.labels, {20,30,40,50,60,70,80},
    _xlpm.income, G370,
    IF(_xlpm.income &lt; INDEX(_xlpm.thresholds,1), "Below 20%",
      IF(_xlpm.income &gt; INDEX(_xlpm.thresholds,7), "Above 80%",
        INDEX(_xlpm.labels, _xlfn.XLOOKUP(_xlpm.income, _xlpm.thresholds, _xlfn.SEQUENCE(1,7), , -1))
      )
    )
  )
)</f>
        <v/>
      </c>
      <c r="I370" s="42" t="str">
        <f t="shared" si="23"/>
        <v/>
      </c>
      <c r="J370" s="61"/>
      <c r="K370" s="61"/>
      <c r="L370" s="61"/>
      <c r="M370" s="61"/>
      <c r="N370" s="47" t="str">
        <f t="shared" si="22"/>
        <v/>
      </c>
      <c r="O370" s="48" t="str">
        <f>IF(OR(C370="", B370=""), "",
  INDEX(RentTable, MATCH(B370, {0,1,2,3,4}, 0), MATCH(C370, {20,30,40,50,60,70,80}, 1))
)</f>
        <v/>
      </c>
      <c r="P370" s="60"/>
      <c r="Q370" s="48" t="str">
        <f t="shared" si="24"/>
        <v/>
      </c>
      <c r="R370" s="60"/>
      <c r="S370" s="60"/>
      <c r="T370" s="48" t="str">
        <f t="shared" si="21"/>
        <v/>
      </c>
      <c r="U370" s="42" t="str" cm="1">
        <f t="array" ref="U370">_xlfn.IFS(OR(Q370="", T370="", Q370=0, "", T370=0), "", AND(T370&lt;=Q370,D370&lt;=Q370), "Y", OR(T370&gt;Q370,D370&gt;Q370), "N")</f>
        <v/>
      </c>
      <c r="V370" s="62"/>
      <c r="W370" s="63"/>
    </row>
    <row r="371" spans="1:23" x14ac:dyDescent="0.25">
      <c r="A371" s="58"/>
      <c r="B371" s="59"/>
      <c r="C371" s="59"/>
      <c r="D371" s="60"/>
      <c r="E371" s="59"/>
      <c r="F371" s="59"/>
      <c r="G371" s="60"/>
      <c r="H371" s="43" t="str" cm="1">
        <f t="array" ref="H371">IF(OR(F371="", G371=""), "",
  _xlfn.LET(
    _xlpm.rowIndex, MATCH(F371, INDEX(IncomeTable,,1), 0),
    _xlpm.thresholds, INDEX(IncomeTable, _xlpm.rowIndex, 2):INDEX(IncomeTable, _xlpm.rowIndex, 8),
    _xlpm.labels, {20,30,40,50,60,70,80},
    _xlpm.income, G371,
    IF(_xlpm.income &lt; INDEX(_xlpm.thresholds,1), "Below 20%",
      IF(_xlpm.income &gt; INDEX(_xlpm.thresholds,7), "Above 80%",
        INDEX(_xlpm.labels, _xlfn.XLOOKUP(_xlpm.income, _xlpm.thresholds, _xlfn.SEQUENCE(1,7), , -1))
      )
    )
  )
)</f>
        <v/>
      </c>
      <c r="I371" s="42" t="str">
        <f t="shared" si="23"/>
        <v/>
      </c>
      <c r="J371" s="61"/>
      <c r="K371" s="61"/>
      <c r="L371" s="61"/>
      <c r="M371" s="61"/>
      <c r="N371" s="47" t="str">
        <f t="shared" si="22"/>
        <v/>
      </c>
      <c r="O371" s="48" t="str">
        <f>IF(OR(C371="", B371=""), "",
  INDEX(RentTable, MATCH(B371, {0,1,2,3,4}, 0), MATCH(C371, {20,30,40,50,60,70,80}, 1))
)</f>
        <v/>
      </c>
      <c r="P371" s="60"/>
      <c r="Q371" s="48" t="str">
        <f t="shared" si="24"/>
        <v/>
      </c>
      <c r="R371" s="60"/>
      <c r="S371" s="60"/>
      <c r="T371" s="48" t="str">
        <f t="shared" si="21"/>
        <v/>
      </c>
      <c r="U371" s="42" t="str" cm="1">
        <f t="array" ref="U371">_xlfn.IFS(OR(Q371="", T371="", Q371=0, "", T371=0), "", AND(T371&lt;=Q371,D371&lt;=Q371), "Y", OR(T371&gt;Q371,D371&gt;Q371), "N")</f>
        <v/>
      </c>
      <c r="V371" s="62"/>
      <c r="W371" s="63"/>
    </row>
    <row r="372" spans="1:23" x14ac:dyDescent="0.25">
      <c r="A372" s="58"/>
      <c r="B372" s="59"/>
      <c r="C372" s="59"/>
      <c r="D372" s="60"/>
      <c r="E372" s="59"/>
      <c r="F372" s="59"/>
      <c r="G372" s="60"/>
      <c r="H372" s="43" t="str" cm="1">
        <f t="array" ref="H372">IF(OR(F372="", G372=""), "",
  _xlfn.LET(
    _xlpm.rowIndex, MATCH(F372, INDEX(IncomeTable,,1), 0),
    _xlpm.thresholds, INDEX(IncomeTable, _xlpm.rowIndex, 2):INDEX(IncomeTable, _xlpm.rowIndex, 8),
    _xlpm.labels, {20,30,40,50,60,70,80},
    _xlpm.income, G372,
    IF(_xlpm.income &lt; INDEX(_xlpm.thresholds,1), "Below 20%",
      IF(_xlpm.income &gt; INDEX(_xlpm.thresholds,7), "Above 80%",
        INDEX(_xlpm.labels, _xlfn.XLOOKUP(_xlpm.income, _xlpm.thresholds, _xlfn.SEQUENCE(1,7), , -1))
      )
    )
  )
)</f>
        <v/>
      </c>
      <c r="I372" s="42" t="str">
        <f t="shared" si="23"/>
        <v/>
      </c>
      <c r="J372" s="61"/>
      <c r="K372" s="61"/>
      <c r="L372" s="61"/>
      <c r="M372" s="61"/>
      <c r="N372" s="47" t="str">
        <f t="shared" si="22"/>
        <v/>
      </c>
      <c r="O372" s="48" t="str">
        <f>IF(OR(C372="", B372=""), "",
  INDEX(RentTable, MATCH(B372, {0,1,2,3,4}, 0), MATCH(C372, {20,30,40,50,60,70,80}, 1))
)</f>
        <v/>
      </c>
      <c r="P372" s="60"/>
      <c r="Q372" s="48" t="str">
        <f t="shared" si="24"/>
        <v/>
      </c>
      <c r="R372" s="60"/>
      <c r="S372" s="60"/>
      <c r="T372" s="48" t="str">
        <f t="shared" si="21"/>
        <v/>
      </c>
      <c r="U372" s="42" t="str" cm="1">
        <f t="array" ref="U372">_xlfn.IFS(OR(Q372="", T372="", Q372=0, "", T372=0), "", AND(T372&lt;=Q372,D372&lt;=Q372), "Y", OR(T372&gt;Q372,D372&gt;Q372), "N")</f>
        <v/>
      </c>
      <c r="V372" s="62"/>
      <c r="W372" s="63"/>
    </row>
    <row r="373" spans="1:23" x14ac:dyDescent="0.25">
      <c r="A373" s="58"/>
      <c r="B373" s="59"/>
      <c r="C373" s="59"/>
      <c r="D373" s="60"/>
      <c r="E373" s="59"/>
      <c r="F373" s="59"/>
      <c r="G373" s="60"/>
      <c r="H373" s="43" t="str" cm="1">
        <f t="array" ref="H373">IF(OR(F373="", G373=""), "",
  _xlfn.LET(
    _xlpm.rowIndex, MATCH(F373, INDEX(IncomeTable,,1), 0),
    _xlpm.thresholds, INDEX(IncomeTable, _xlpm.rowIndex, 2):INDEX(IncomeTable, _xlpm.rowIndex, 8),
    _xlpm.labels, {20,30,40,50,60,70,80},
    _xlpm.income, G373,
    IF(_xlpm.income &lt; INDEX(_xlpm.thresholds,1), "Below 20%",
      IF(_xlpm.income &gt; INDEX(_xlpm.thresholds,7), "Above 80%",
        INDEX(_xlpm.labels, _xlfn.XLOOKUP(_xlpm.income, _xlpm.thresholds, _xlfn.SEQUENCE(1,7), , -1))
      )
    )
  )
)</f>
        <v/>
      </c>
      <c r="I373" s="42" t="str">
        <f t="shared" si="23"/>
        <v/>
      </c>
      <c r="J373" s="61"/>
      <c r="K373" s="61"/>
      <c r="L373" s="61"/>
      <c r="M373" s="61"/>
      <c r="N373" s="47" t="str">
        <f t="shared" si="22"/>
        <v/>
      </c>
      <c r="O373" s="48" t="str">
        <f>IF(OR(C373="", B373=""), "",
  INDEX(RentTable, MATCH(B373, {0,1,2,3,4}, 0), MATCH(C373, {20,30,40,50,60,70,80}, 1))
)</f>
        <v/>
      </c>
      <c r="P373" s="60"/>
      <c r="Q373" s="48" t="str">
        <f t="shared" si="24"/>
        <v/>
      </c>
      <c r="R373" s="60"/>
      <c r="S373" s="60"/>
      <c r="T373" s="48" t="str">
        <f t="shared" si="21"/>
        <v/>
      </c>
      <c r="U373" s="42" t="str" cm="1">
        <f t="array" ref="U373">_xlfn.IFS(OR(Q373="", T373="", Q373=0, "", T373=0), "", AND(T373&lt;=Q373,D373&lt;=Q373), "Y", OR(T373&gt;Q373,D373&gt;Q373), "N")</f>
        <v/>
      </c>
      <c r="V373" s="62"/>
      <c r="W373" s="63"/>
    </row>
    <row r="374" spans="1:23" x14ac:dyDescent="0.25">
      <c r="A374" s="58"/>
      <c r="B374" s="59"/>
      <c r="C374" s="59"/>
      <c r="D374" s="60"/>
      <c r="E374" s="59"/>
      <c r="F374" s="59"/>
      <c r="G374" s="60"/>
      <c r="H374" s="43" t="str" cm="1">
        <f t="array" ref="H374">IF(OR(F374="", G374=""), "",
  _xlfn.LET(
    _xlpm.rowIndex, MATCH(F374, INDEX(IncomeTable,,1), 0),
    _xlpm.thresholds, INDEX(IncomeTable, _xlpm.rowIndex, 2):INDEX(IncomeTable, _xlpm.rowIndex, 8),
    _xlpm.labels, {20,30,40,50,60,70,80},
    _xlpm.income, G374,
    IF(_xlpm.income &lt; INDEX(_xlpm.thresholds,1), "Below 20%",
      IF(_xlpm.income &gt; INDEX(_xlpm.thresholds,7), "Above 80%",
        INDEX(_xlpm.labels, _xlfn.XLOOKUP(_xlpm.income, _xlpm.thresholds, _xlfn.SEQUENCE(1,7), , -1))
      )
    )
  )
)</f>
        <v/>
      </c>
      <c r="I374" s="42" t="str">
        <f t="shared" si="23"/>
        <v/>
      </c>
      <c r="J374" s="61"/>
      <c r="K374" s="61"/>
      <c r="L374" s="61"/>
      <c r="M374" s="61"/>
      <c r="N374" s="47" t="str">
        <f t="shared" si="22"/>
        <v/>
      </c>
      <c r="O374" s="48" t="str">
        <f>IF(OR(C374="", B374=""), "",
  INDEX(RentTable, MATCH(B374, {0,1,2,3,4}, 0), MATCH(C374, {20,30,40,50,60,70,80}, 1))
)</f>
        <v/>
      </c>
      <c r="P374" s="60"/>
      <c r="Q374" s="48" t="str">
        <f t="shared" si="24"/>
        <v/>
      </c>
      <c r="R374" s="60"/>
      <c r="S374" s="60"/>
      <c r="T374" s="48" t="str">
        <f t="shared" si="21"/>
        <v/>
      </c>
      <c r="U374" s="42" t="str" cm="1">
        <f t="array" ref="U374">_xlfn.IFS(OR(Q374="", T374="", Q374=0, "", T374=0), "", AND(T374&lt;=Q374,D374&lt;=Q374), "Y", OR(T374&gt;Q374,D374&gt;Q374), "N")</f>
        <v/>
      </c>
      <c r="V374" s="62"/>
      <c r="W374" s="63"/>
    </row>
    <row r="375" spans="1:23" x14ac:dyDescent="0.25">
      <c r="A375" s="58"/>
      <c r="B375" s="59"/>
      <c r="C375" s="59"/>
      <c r="D375" s="60"/>
      <c r="E375" s="59"/>
      <c r="F375" s="59"/>
      <c r="G375" s="60"/>
      <c r="H375" s="43" t="str" cm="1">
        <f t="array" ref="H375">IF(OR(F375="", G375=""), "",
  _xlfn.LET(
    _xlpm.rowIndex, MATCH(F375, INDEX(IncomeTable,,1), 0),
    _xlpm.thresholds, INDEX(IncomeTable, _xlpm.rowIndex, 2):INDEX(IncomeTable, _xlpm.rowIndex, 8),
    _xlpm.labels, {20,30,40,50,60,70,80},
    _xlpm.income, G375,
    IF(_xlpm.income &lt; INDEX(_xlpm.thresholds,1), "Below 20%",
      IF(_xlpm.income &gt; INDEX(_xlpm.thresholds,7), "Above 80%",
        INDEX(_xlpm.labels, _xlfn.XLOOKUP(_xlpm.income, _xlpm.thresholds, _xlfn.SEQUENCE(1,7), , -1))
      )
    )
  )
)</f>
        <v/>
      </c>
      <c r="I375" s="42" t="str">
        <f t="shared" si="23"/>
        <v/>
      </c>
      <c r="J375" s="61"/>
      <c r="K375" s="61"/>
      <c r="L375" s="61"/>
      <c r="M375" s="61"/>
      <c r="N375" s="47" t="str">
        <f t="shared" si="22"/>
        <v/>
      </c>
      <c r="O375" s="48" t="str">
        <f>IF(OR(C375="", B375=""), "",
  INDEX(RentTable, MATCH(B375, {0,1,2,3,4}, 0), MATCH(C375, {20,30,40,50,60,70,80}, 1))
)</f>
        <v/>
      </c>
      <c r="P375" s="60"/>
      <c r="Q375" s="48" t="str">
        <f t="shared" si="24"/>
        <v/>
      </c>
      <c r="R375" s="60"/>
      <c r="S375" s="60"/>
      <c r="T375" s="48" t="str">
        <f t="shared" si="21"/>
        <v/>
      </c>
      <c r="U375" s="42" t="str" cm="1">
        <f t="array" ref="U375">_xlfn.IFS(OR(Q375="", T375="", Q375=0, "", T375=0), "", AND(T375&lt;=Q375,D375&lt;=Q375), "Y", OR(T375&gt;Q375,D375&gt;Q375), "N")</f>
        <v/>
      </c>
      <c r="V375" s="62"/>
      <c r="W375" s="63"/>
    </row>
    <row r="376" spans="1:23" x14ac:dyDescent="0.25">
      <c r="A376" s="58"/>
      <c r="B376" s="59"/>
      <c r="C376" s="59"/>
      <c r="D376" s="60"/>
      <c r="E376" s="59"/>
      <c r="F376" s="59"/>
      <c r="G376" s="60"/>
      <c r="H376" s="43" t="str" cm="1">
        <f t="array" ref="H376">IF(OR(F376="", G376=""), "",
  _xlfn.LET(
    _xlpm.rowIndex, MATCH(F376, INDEX(IncomeTable,,1), 0),
    _xlpm.thresholds, INDEX(IncomeTable, _xlpm.rowIndex, 2):INDEX(IncomeTable, _xlpm.rowIndex, 8),
    _xlpm.labels, {20,30,40,50,60,70,80},
    _xlpm.income, G376,
    IF(_xlpm.income &lt; INDEX(_xlpm.thresholds,1), "Below 20%",
      IF(_xlpm.income &gt; INDEX(_xlpm.thresholds,7), "Above 80%",
        INDEX(_xlpm.labels, _xlfn.XLOOKUP(_xlpm.income, _xlpm.thresholds, _xlfn.SEQUENCE(1,7), , -1))
      )
    )
  )
)</f>
        <v/>
      </c>
      <c r="I376" s="42" t="str">
        <f t="shared" si="23"/>
        <v/>
      </c>
      <c r="J376" s="61"/>
      <c r="K376" s="61"/>
      <c r="L376" s="61"/>
      <c r="M376" s="61"/>
      <c r="N376" s="47" t="str">
        <f t="shared" si="22"/>
        <v/>
      </c>
      <c r="O376" s="48" t="str">
        <f>IF(OR(C376="", B376=""), "",
  INDEX(RentTable, MATCH(B376, {0,1,2,3,4}, 0), MATCH(C376, {20,30,40,50,60,70,80}, 1))
)</f>
        <v/>
      </c>
      <c r="P376" s="60"/>
      <c r="Q376" s="48" t="str">
        <f t="shared" si="24"/>
        <v/>
      </c>
      <c r="R376" s="60"/>
      <c r="S376" s="60"/>
      <c r="T376" s="48" t="str">
        <f t="shared" si="21"/>
        <v/>
      </c>
      <c r="U376" s="42" t="str" cm="1">
        <f t="array" ref="U376">_xlfn.IFS(OR(Q376="", T376="", Q376=0, "", T376=0), "", AND(T376&lt;=Q376,D376&lt;=Q376), "Y", OR(T376&gt;Q376,D376&gt;Q376), "N")</f>
        <v/>
      </c>
      <c r="V376" s="62"/>
      <c r="W376" s="63"/>
    </row>
    <row r="377" spans="1:23" x14ac:dyDescent="0.25">
      <c r="A377" s="58"/>
      <c r="B377" s="59"/>
      <c r="C377" s="59"/>
      <c r="D377" s="60"/>
      <c r="E377" s="59"/>
      <c r="F377" s="59"/>
      <c r="G377" s="60"/>
      <c r="H377" s="43" t="str" cm="1">
        <f t="array" ref="H377">IF(OR(F377="", G377=""), "",
  _xlfn.LET(
    _xlpm.rowIndex, MATCH(F377, INDEX(IncomeTable,,1), 0),
    _xlpm.thresholds, INDEX(IncomeTable, _xlpm.rowIndex, 2):INDEX(IncomeTable, _xlpm.rowIndex, 8),
    _xlpm.labels, {20,30,40,50,60,70,80},
    _xlpm.income, G377,
    IF(_xlpm.income &lt; INDEX(_xlpm.thresholds,1), "Below 20%",
      IF(_xlpm.income &gt; INDEX(_xlpm.thresholds,7), "Above 80%",
        INDEX(_xlpm.labels, _xlfn.XLOOKUP(_xlpm.income, _xlpm.thresholds, _xlfn.SEQUENCE(1,7), , -1))
      )
    )
  )
)</f>
        <v/>
      </c>
      <c r="I377" s="42" t="str">
        <f t="shared" si="23"/>
        <v/>
      </c>
      <c r="J377" s="61"/>
      <c r="K377" s="61"/>
      <c r="L377" s="61"/>
      <c r="M377" s="61"/>
      <c r="N377" s="47" t="str">
        <f t="shared" si="22"/>
        <v/>
      </c>
      <c r="O377" s="48" t="str">
        <f>IF(OR(C377="", B377=""), "",
  INDEX(RentTable, MATCH(B377, {0,1,2,3,4}, 0), MATCH(C377, {20,30,40,50,60,70,80}, 1))
)</f>
        <v/>
      </c>
      <c r="P377" s="60"/>
      <c r="Q377" s="48" t="str">
        <f t="shared" si="24"/>
        <v/>
      </c>
      <c r="R377" s="60"/>
      <c r="S377" s="60"/>
      <c r="T377" s="48" t="str">
        <f t="shared" si="21"/>
        <v/>
      </c>
      <c r="U377" s="42" t="str" cm="1">
        <f t="array" ref="U377">_xlfn.IFS(OR(Q377="", T377="", Q377=0, "", T377=0), "", AND(T377&lt;=Q377,D377&lt;=Q377), "Y", OR(T377&gt;Q377,D377&gt;Q377), "N")</f>
        <v/>
      </c>
      <c r="V377" s="62"/>
      <c r="W377" s="63"/>
    </row>
    <row r="378" spans="1:23" x14ac:dyDescent="0.25">
      <c r="A378" s="58"/>
      <c r="B378" s="59"/>
      <c r="C378" s="59"/>
      <c r="D378" s="60"/>
      <c r="E378" s="59"/>
      <c r="F378" s="59"/>
      <c r="G378" s="60"/>
      <c r="H378" s="43" t="str" cm="1">
        <f t="array" ref="H378">IF(OR(F378="", G378=""), "",
  _xlfn.LET(
    _xlpm.rowIndex, MATCH(F378, INDEX(IncomeTable,,1), 0),
    _xlpm.thresholds, INDEX(IncomeTable, _xlpm.rowIndex, 2):INDEX(IncomeTable, _xlpm.rowIndex, 8),
    _xlpm.labels, {20,30,40,50,60,70,80},
    _xlpm.income, G378,
    IF(_xlpm.income &lt; INDEX(_xlpm.thresholds,1), "Below 20%",
      IF(_xlpm.income &gt; INDEX(_xlpm.thresholds,7), "Above 80%",
        INDEX(_xlpm.labels, _xlfn.XLOOKUP(_xlpm.income, _xlpm.thresholds, _xlfn.SEQUENCE(1,7), , -1))
      )
    )
  )
)</f>
        <v/>
      </c>
      <c r="I378" s="42" t="str">
        <f t="shared" si="23"/>
        <v/>
      </c>
      <c r="J378" s="61"/>
      <c r="K378" s="61"/>
      <c r="L378" s="61"/>
      <c r="M378" s="61"/>
      <c r="N378" s="47" t="str">
        <f t="shared" si="22"/>
        <v/>
      </c>
      <c r="O378" s="48" t="str">
        <f>IF(OR(C378="", B378=""), "",
  INDEX(RentTable, MATCH(B378, {0,1,2,3,4}, 0), MATCH(C378, {20,30,40,50,60,70,80}, 1))
)</f>
        <v/>
      </c>
      <c r="P378" s="60"/>
      <c r="Q378" s="48" t="str">
        <f t="shared" si="24"/>
        <v/>
      </c>
      <c r="R378" s="60"/>
      <c r="S378" s="60"/>
      <c r="T378" s="48" t="str">
        <f t="shared" si="21"/>
        <v/>
      </c>
      <c r="U378" s="42" t="str" cm="1">
        <f t="array" ref="U378">_xlfn.IFS(OR(Q378="", T378="", Q378=0, "", T378=0), "", AND(T378&lt;=Q378,D378&lt;=Q378), "Y", OR(T378&gt;Q378,D378&gt;Q378), "N")</f>
        <v/>
      </c>
      <c r="V378" s="62"/>
      <c r="W378" s="63"/>
    </row>
    <row r="379" spans="1:23" x14ac:dyDescent="0.25">
      <c r="A379" s="58"/>
      <c r="B379" s="59"/>
      <c r="C379" s="59"/>
      <c r="D379" s="60"/>
      <c r="E379" s="59"/>
      <c r="F379" s="59"/>
      <c r="G379" s="60"/>
      <c r="H379" s="43" t="str" cm="1">
        <f t="array" ref="H379">IF(OR(F379="", G379=""), "",
  _xlfn.LET(
    _xlpm.rowIndex, MATCH(F379, INDEX(IncomeTable,,1), 0),
    _xlpm.thresholds, INDEX(IncomeTable, _xlpm.rowIndex, 2):INDEX(IncomeTable, _xlpm.rowIndex, 8),
    _xlpm.labels, {20,30,40,50,60,70,80},
    _xlpm.income, G379,
    IF(_xlpm.income &lt; INDEX(_xlpm.thresholds,1), "Below 20%",
      IF(_xlpm.income &gt; INDEX(_xlpm.thresholds,7), "Above 80%",
        INDEX(_xlpm.labels, _xlfn.XLOOKUP(_xlpm.income, _xlpm.thresholds, _xlfn.SEQUENCE(1,7), , -1))
      )
    )
  )
)</f>
        <v/>
      </c>
      <c r="I379" s="42" t="str">
        <f t="shared" si="23"/>
        <v/>
      </c>
      <c r="J379" s="61"/>
      <c r="K379" s="61"/>
      <c r="L379" s="61"/>
      <c r="M379" s="61"/>
      <c r="N379" s="47" t="str">
        <f t="shared" si="22"/>
        <v/>
      </c>
      <c r="O379" s="48" t="str">
        <f>IF(OR(C379="", B379=""), "",
  INDEX(RentTable, MATCH(B379, {0,1,2,3,4}, 0), MATCH(C379, {20,30,40,50,60,70,80}, 1))
)</f>
        <v/>
      </c>
      <c r="P379" s="60"/>
      <c r="Q379" s="48" t="str">
        <f t="shared" si="24"/>
        <v/>
      </c>
      <c r="R379" s="60"/>
      <c r="S379" s="60"/>
      <c r="T379" s="48" t="str">
        <f t="shared" si="21"/>
        <v/>
      </c>
      <c r="U379" s="42" t="str" cm="1">
        <f t="array" ref="U379">_xlfn.IFS(OR(Q379="", T379="", Q379=0, "", T379=0), "", AND(T379&lt;=Q379,D379&lt;=Q379), "Y", OR(T379&gt;Q379,D379&gt;Q379), "N")</f>
        <v/>
      </c>
      <c r="V379" s="62"/>
      <c r="W379" s="63"/>
    </row>
    <row r="380" spans="1:23" x14ac:dyDescent="0.25">
      <c r="A380" s="58"/>
      <c r="B380" s="59"/>
      <c r="C380" s="59"/>
      <c r="D380" s="60"/>
      <c r="E380" s="59"/>
      <c r="F380" s="59"/>
      <c r="G380" s="60"/>
      <c r="H380" s="43" t="str" cm="1">
        <f t="array" ref="H380">IF(OR(F380="", G380=""), "",
  _xlfn.LET(
    _xlpm.rowIndex, MATCH(F380, INDEX(IncomeTable,,1), 0),
    _xlpm.thresholds, INDEX(IncomeTable, _xlpm.rowIndex, 2):INDEX(IncomeTable, _xlpm.rowIndex, 8),
    _xlpm.labels, {20,30,40,50,60,70,80},
    _xlpm.income, G380,
    IF(_xlpm.income &lt; INDEX(_xlpm.thresholds,1), "Below 20%",
      IF(_xlpm.income &gt; INDEX(_xlpm.thresholds,7), "Above 80%",
        INDEX(_xlpm.labels, _xlfn.XLOOKUP(_xlpm.income, _xlpm.thresholds, _xlfn.SEQUENCE(1,7), , -1))
      )
    )
  )
)</f>
        <v/>
      </c>
      <c r="I380" s="42" t="str">
        <f t="shared" si="23"/>
        <v/>
      </c>
      <c r="J380" s="61"/>
      <c r="K380" s="61"/>
      <c r="L380" s="61"/>
      <c r="M380" s="61"/>
      <c r="N380" s="47" t="str">
        <f t="shared" si="22"/>
        <v/>
      </c>
      <c r="O380" s="48" t="str">
        <f>IF(OR(C380="", B380=""), "",
  INDEX(RentTable, MATCH(B380, {0,1,2,3,4}, 0), MATCH(C380, {20,30,40,50,60,70,80}, 1))
)</f>
        <v/>
      </c>
      <c r="P380" s="60"/>
      <c r="Q380" s="48" t="str">
        <f t="shared" si="24"/>
        <v/>
      </c>
      <c r="R380" s="60"/>
      <c r="S380" s="60"/>
      <c r="T380" s="48" t="str">
        <f t="shared" si="21"/>
        <v/>
      </c>
      <c r="U380" s="42" t="str" cm="1">
        <f t="array" ref="U380">_xlfn.IFS(OR(Q380="", T380="", Q380=0, "", T380=0), "", AND(T380&lt;=Q380,D380&lt;=Q380), "Y", OR(T380&gt;Q380,D380&gt;Q380), "N")</f>
        <v/>
      </c>
      <c r="V380" s="62"/>
      <c r="W380" s="63"/>
    </row>
    <row r="381" spans="1:23" x14ac:dyDescent="0.25">
      <c r="A381" s="58"/>
      <c r="B381" s="59"/>
      <c r="C381" s="59"/>
      <c r="D381" s="60"/>
      <c r="E381" s="59"/>
      <c r="F381" s="59"/>
      <c r="G381" s="60"/>
      <c r="H381" s="43" t="str" cm="1">
        <f t="array" ref="H381">IF(OR(F381="", G381=""), "",
  _xlfn.LET(
    _xlpm.rowIndex, MATCH(F381, INDEX(IncomeTable,,1), 0),
    _xlpm.thresholds, INDEX(IncomeTable, _xlpm.rowIndex, 2):INDEX(IncomeTable, _xlpm.rowIndex, 8),
    _xlpm.labels, {20,30,40,50,60,70,80},
    _xlpm.income, G381,
    IF(_xlpm.income &lt; INDEX(_xlpm.thresholds,1), "Below 20%",
      IF(_xlpm.income &gt; INDEX(_xlpm.thresholds,7), "Above 80%",
        INDEX(_xlpm.labels, _xlfn.XLOOKUP(_xlpm.income, _xlpm.thresholds, _xlfn.SEQUENCE(1,7), , -1))
      )
    )
  )
)</f>
        <v/>
      </c>
      <c r="I381" s="42" t="str">
        <f t="shared" si="23"/>
        <v/>
      </c>
      <c r="J381" s="61"/>
      <c r="K381" s="61"/>
      <c r="L381" s="61"/>
      <c r="M381" s="61"/>
      <c r="N381" s="47" t="str">
        <f t="shared" si="22"/>
        <v/>
      </c>
      <c r="O381" s="48" t="str">
        <f>IF(OR(C381="", B381=""), "",
  INDEX(RentTable, MATCH(B381, {0,1,2,3,4}, 0), MATCH(C381, {20,30,40,50,60,70,80}, 1))
)</f>
        <v/>
      </c>
      <c r="P381" s="60"/>
      <c r="Q381" s="48" t="str">
        <f t="shared" si="24"/>
        <v/>
      </c>
      <c r="R381" s="60"/>
      <c r="S381" s="60"/>
      <c r="T381" s="48" t="str">
        <f t="shared" si="21"/>
        <v/>
      </c>
      <c r="U381" s="42" t="str" cm="1">
        <f t="array" ref="U381">_xlfn.IFS(OR(Q381="", T381="", Q381=0, "", T381=0), "", AND(T381&lt;=Q381,D381&lt;=Q381), "Y", OR(T381&gt;Q381,D381&gt;Q381), "N")</f>
        <v/>
      </c>
      <c r="V381" s="62"/>
      <c r="W381" s="63"/>
    </row>
    <row r="382" spans="1:23" x14ac:dyDescent="0.25">
      <c r="A382" s="58"/>
      <c r="B382" s="59"/>
      <c r="C382" s="59"/>
      <c r="D382" s="60"/>
      <c r="E382" s="59"/>
      <c r="F382" s="59"/>
      <c r="G382" s="60"/>
      <c r="H382" s="43" t="str" cm="1">
        <f t="array" ref="H382">IF(OR(F382="", G382=""), "",
  _xlfn.LET(
    _xlpm.rowIndex, MATCH(F382, INDEX(IncomeTable,,1), 0),
    _xlpm.thresholds, INDEX(IncomeTable, _xlpm.rowIndex, 2):INDEX(IncomeTable, _xlpm.rowIndex, 8),
    _xlpm.labels, {20,30,40,50,60,70,80},
    _xlpm.income, G382,
    IF(_xlpm.income &lt; INDEX(_xlpm.thresholds,1), "Below 20%",
      IF(_xlpm.income &gt; INDEX(_xlpm.thresholds,7), "Above 80%",
        INDEX(_xlpm.labels, _xlfn.XLOOKUP(_xlpm.income, _xlpm.thresholds, _xlfn.SEQUENCE(1,7), , -1))
      )
    )
  )
)</f>
        <v/>
      </c>
      <c r="I382" s="42" t="str">
        <f t="shared" si="23"/>
        <v/>
      </c>
      <c r="J382" s="61"/>
      <c r="K382" s="61"/>
      <c r="L382" s="61"/>
      <c r="M382" s="61"/>
      <c r="N382" s="47" t="str">
        <f t="shared" si="22"/>
        <v/>
      </c>
      <c r="O382" s="48" t="str">
        <f>IF(OR(C382="", B382=""), "",
  INDEX(RentTable, MATCH(B382, {0,1,2,3,4}, 0), MATCH(C382, {20,30,40,50,60,70,80}, 1))
)</f>
        <v/>
      </c>
      <c r="P382" s="60"/>
      <c r="Q382" s="48" t="str">
        <f t="shared" si="24"/>
        <v/>
      </c>
      <c r="R382" s="60"/>
      <c r="S382" s="60"/>
      <c r="T382" s="48" t="str">
        <f t="shared" si="21"/>
        <v/>
      </c>
      <c r="U382" s="42" t="str" cm="1">
        <f t="array" ref="U382">_xlfn.IFS(OR(Q382="", T382="", Q382=0, "", T382=0), "", AND(T382&lt;=Q382,D382&lt;=Q382), "Y", OR(T382&gt;Q382,D382&gt;Q382), "N")</f>
        <v/>
      </c>
      <c r="V382" s="62"/>
      <c r="W382" s="63"/>
    </row>
    <row r="383" spans="1:23" x14ac:dyDescent="0.25">
      <c r="A383" s="58"/>
      <c r="B383" s="59"/>
      <c r="C383" s="59"/>
      <c r="D383" s="60"/>
      <c r="E383" s="59"/>
      <c r="F383" s="59"/>
      <c r="G383" s="60"/>
      <c r="H383" s="43" t="str" cm="1">
        <f t="array" ref="H383">IF(OR(F383="", G383=""), "",
  _xlfn.LET(
    _xlpm.rowIndex, MATCH(F383, INDEX(IncomeTable,,1), 0),
    _xlpm.thresholds, INDEX(IncomeTable, _xlpm.rowIndex, 2):INDEX(IncomeTable, _xlpm.rowIndex, 8),
    _xlpm.labels, {20,30,40,50,60,70,80},
    _xlpm.income, G383,
    IF(_xlpm.income &lt; INDEX(_xlpm.thresholds,1), "Below 20%",
      IF(_xlpm.income &gt; INDEX(_xlpm.thresholds,7), "Above 80%",
        INDEX(_xlpm.labels, _xlfn.XLOOKUP(_xlpm.income, _xlpm.thresholds, _xlfn.SEQUENCE(1,7), , -1))
      )
    )
  )
)</f>
        <v/>
      </c>
      <c r="I383" s="42" t="str">
        <f t="shared" si="23"/>
        <v/>
      </c>
      <c r="J383" s="61"/>
      <c r="K383" s="61"/>
      <c r="L383" s="61"/>
      <c r="M383" s="61"/>
      <c r="N383" s="47" t="str">
        <f t="shared" si="22"/>
        <v/>
      </c>
      <c r="O383" s="48" t="str">
        <f>IF(OR(C383="", B383=""), "",
  INDEX(RentTable, MATCH(B383, {0,1,2,3,4}, 0), MATCH(C383, {20,30,40,50,60,70,80}, 1))
)</f>
        <v/>
      </c>
      <c r="P383" s="60"/>
      <c r="Q383" s="48" t="str">
        <f t="shared" si="24"/>
        <v/>
      </c>
      <c r="R383" s="60"/>
      <c r="S383" s="60"/>
      <c r="T383" s="48" t="str">
        <f t="shared" si="21"/>
        <v/>
      </c>
      <c r="U383" s="42" t="str" cm="1">
        <f t="array" ref="U383">_xlfn.IFS(OR(Q383="", T383="", Q383=0, "", T383=0), "", AND(T383&lt;=Q383,D383&lt;=Q383), "Y", OR(T383&gt;Q383,D383&gt;Q383), "N")</f>
        <v/>
      </c>
      <c r="V383" s="62"/>
      <c r="W383" s="63"/>
    </row>
    <row r="384" spans="1:23" x14ac:dyDescent="0.25">
      <c r="A384" s="58"/>
      <c r="B384" s="59"/>
      <c r="C384" s="59"/>
      <c r="D384" s="60"/>
      <c r="E384" s="59"/>
      <c r="F384" s="59"/>
      <c r="G384" s="60"/>
      <c r="H384" s="43" t="str" cm="1">
        <f t="array" ref="H384">IF(OR(F384="", G384=""), "",
  _xlfn.LET(
    _xlpm.rowIndex, MATCH(F384, INDEX(IncomeTable,,1), 0),
    _xlpm.thresholds, INDEX(IncomeTable, _xlpm.rowIndex, 2):INDEX(IncomeTable, _xlpm.rowIndex, 8),
    _xlpm.labels, {20,30,40,50,60,70,80},
    _xlpm.income, G384,
    IF(_xlpm.income &lt; INDEX(_xlpm.thresholds,1), "Below 20%",
      IF(_xlpm.income &gt; INDEX(_xlpm.thresholds,7), "Above 80%",
        INDEX(_xlpm.labels, _xlfn.XLOOKUP(_xlpm.income, _xlpm.thresholds, _xlfn.SEQUENCE(1,7), , -1))
      )
    )
  )
)</f>
        <v/>
      </c>
      <c r="I384" s="42" t="str">
        <f t="shared" si="23"/>
        <v/>
      </c>
      <c r="J384" s="61"/>
      <c r="K384" s="61"/>
      <c r="L384" s="61"/>
      <c r="M384" s="61"/>
      <c r="N384" s="47" t="str">
        <f t="shared" si="22"/>
        <v/>
      </c>
      <c r="O384" s="48" t="str">
        <f>IF(OR(C384="", B384=""), "",
  INDEX(RentTable, MATCH(B384, {0,1,2,3,4}, 0), MATCH(C384, {20,30,40,50,60,70,80}, 1))
)</f>
        <v/>
      </c>
      <c r="P384" s="60"/>
      <c r="Q384" s="48" t="str">
        <f t="shared" si="24"/>
        <v/>
      </c>
      <c r="R384" s="60"/>
      <c r="S384" s="60"/>
      <c r="T384" s="48" t="str">
        <f t="shared" si="21"/>
        <v/>
      </c>
      <c r="U384" s="42" t="str" cm="1">
        <f t="array" ref="U384">_xlfn.IFS(OR(Q384="", T384="", Q384=0, "", T384=0), "", AND(T384&lt;=Q384,D384&lt;=Q384), "Y", OR(T384&gt;Q384,D384&gt;Q384), "N")</f>
        <v/>
      </c>
      <c r="V384" s="62"/>
      <c r="W384" s="63"/>
    </row>
    <row r="385" spans="1:23" x14ac:dyDescent="0.25">
      <c r="A385" s="58"/>
      <c r="B385" s="59"/>
      <c r="C385" s="59"/>
      <c r="D385" s="60"/>
      <c r="E385" s="59"/>
      <c r="F385" s="59"/>
      <c r="G385" s="60"/>
      <c r="H385" s="43" t="str" cm="1">
        <f t="array" ref="H385">IF(OR(F385="", G385=""), "",
  _xlfn.LET(
    _xlpm.rowIndex, MATCH(F385, INDEX(IncomeTable,,1), 0),
    _xlpm.thresholds, INDEX(IncomeTable, _xlpm.rowIndex, 2):INDEX(IncomeTable, _xlpm.rowIndex, 8),
    _xlpm.labels, {20,30,40,50,60,70,80},
    _xlpm.income, G385,
    IF(_xlpm.income &lt; INDEX(_xlpm.thresholds,1), "Below 20%",
      IF(_xlpm.income &gt; INDEX(_xlpm.thresholds,7), "Above 80%",
        INDEX(_xlpm.labels, _xlfn.XLOOKUP(_xlpm.income, _xlpm.thresholds, _xlfn.SEQUENCE(1,7), , -1))
      )
    )
  )
)</f>
        <v/>
      </c>
      <c r="I385" s="42" t="str">
        <f t="shared" si="23"/>
        <v/>
      </c>
      <c r="J385" s="61"/>
      <c r="K385" s="61"/>
      <c r="L385" s="61"/>
      <c r="M385" s="61"/>
      <c r="N385" s="47" t="str">
        <f t="shared" si="22"/>
        <v/>
      </c>
      <c r="O385" s="48" t="str">
        <f>IF(OR(C385="", B385=""), "",
  INDEX(RentTable, MATCH(B385, {0,1,2,3,4}, 0), MATCH(C385, {20,30,40,50,60,70,80}, 1))
)</f>
        <v/>
      </c>
      <c r="P385" s="60"/>
      <c r="Q385" s="48" t="str">
        <f t="shared" si="24"/>
        <v/>
      </c>
      <c r="R385" s="60"/>
      <c r="S385" s="60"/>
      <c r="T385" s="48" t="str">
        <f t="shared" si="21"/>
        <v/>
      </c>
      <c r="U385" s="42" t="str" cm="1">
        <f t="array" ref="U385">_xlfn.IFS(OR(Q385="", T385="", Q385=0, "", T385=0), "", AND(T385&lt;=Q385,D385&lt;=Q385), "Y", OR(T385&gt;Q385,D385&gt;Q385), "N")</f>
        <v/>
      </c>
      <c r="V385" s="62"/>
      <c r="W385" s="63"/>
    </row>
    <row r="386" spans="1:23" x14ac:dyDescent="0.25">
      <c r="A386" s="58"/>
      <c r="B386" s="59"/>
      <c r="C386" s="59"/>
      <c r="D386" s="60"/>
      <c r="E386" s="59"/>
      <c r="F386" s="59"/>
      <c r="G386" s="60"/>
      <c r="H386" s="43" t="str" cm="1">
        <f t="array" ref="H386">IF(OR(F386="", G386=""), "",
  _xlfn.LET(
    _xlpm.rowIndex, MATCH(F386, INDEX(IncomeTable,,1), 0),
    _xlpm.thresholds, INDEX(IncomeTable, _xlpm.rowIndex, 2):INDEX(IncomeTable, _xlpm.rowIndex, 8),
    _xlpm.labels, {20,30,40,50,60,70,80},
    _xlpm.income, G386,
    IF(_xlpm.income &lt; INDEX(_xlpm.thresholds,1), "Below 20%",
      IF(_xlpm.income &gt; INDEX(_xlpm.thresholds,7), "Above 80%",
        INDEX(_xlpm.labels, _xlfn.XLOOKUP(_xlpm.income, _xlpm.thresholds, _xlfn.SEQUENCE(1,7), , -1))
      )
    )
  )
)</f>
        <v/>
      </c>
      <c r="I386" s="42" t="str">
        <f t="shared" si="23"/>
        <v/>
      </c>
      <c r="J386" s="61"/>
      <c r="K386" s="61"/>
      <c r="L386" s="61"/>
      <c r="M386" s="61"/>
      <c r="N386" s="47" t="str">
        <f t="shared" si="22"/>
        <v/>
      </c>
      <c r="O386" s="48" t="str">
        <f>IF(OR(C386="", B386=""), "",
  INDEX(RentTable, MATCH(B386, {0,1,2,3,4}, 0), MATCH(C386, {20,30,40,50,60,70,80}, 1))
)</f>
        <v/>
      </c>
      <c r="P386" s="60"/>
      <c r="Q386" s="48" t="str">
        <f t="shared" si="24"/>
        <v/>
      </c>
      <c r="R386" s="60"/>
      <c r="S386" s="60"/>
      <c r="T386" s="48" t="str">
        <f t="shared" si="21"/>
        <v/>
      </c>
      <c r="U386" s="42" t="str" cm="1">
        <f t="array" ref="U386">_xlfn.IFS(OR(Q386="", T386="", Q386=0, "", T386=0), "", AND(T386&lt;=Q386,D386&lt;=Q386), "Y", OR(T386&gt;Q386,D386&gt;Q386), "N")</f>
        <v/>
      </c>
      <c r="V386" s="62"/>
      <c r="W386" s="63"/>
    </row>
    <row r="387" spans="1:23" x14ac:dyDescent="0.25">
      <c r="A387" s="58"/>
      <c r="B387" s="59"/>
      <c r="C387" s="59"/>
      <c r="D387" s="60"/>
      <c r="E387" s="59"/>
      <c r="F387" s="59"/>
      <c r="G387" s="60"/>
      <c r="H387" s="43" t="str" cm="1">
        <f t="array" ref="H387">IF(OR(F387="", G387=""), "",
  _xlfn.LET(
    _xlpm.rowIndex, MATCH(F387, INDEX(IncomeTable,,1), 0),
    _xlpm.thresholds, INDEX(IncomeTable, _xlpm.rowIndex, 2):INDEX(IncomeTable, _xlpm.rowIndex, 8),
    _xlpm.labels, {20,30,40,50,60,70,80},
    _xlpm.income, G387,
    IF(_xlpm.income &lt; INDEX(_xlpm.thresholds,1), "Below 20%",
      IF(_xlpm.income &gt; INDEX(_xlpm.thresholds,7), "Above 80%",
        INDEX(_xlpm.labels, _xlfn.XLOOKUP(_xlpm.income, _xlpm.thresholds, _xlfn.SEQUENCE(1,7), , -1))
      )
    )
  )
)</f>
        <v/>
      </c>
      <c r="I387" s="42" t="str">
        <f t="shared" si="23"/>
        <v/>
      </c>
      <c r="J387" s="61"/>
      <c r="K387" s="61"/>
      <c r="L387" s="61"/>
      <c r="M387" s="61"/>
      <c r="N387" s="47" t="str">
        <f t="shared" si="22"/>
        <v/>
      </c>
      <c r="O387" s="48" t="str">
        <f>IF(OR(C387="", B387=""), "",
  INDEX(RentTable, MATCH(B387, {0,1,2,3,4}, 0), MATCH(C387, {20,30,40,50,60,70,80}, 1))
)</f>
        <v/>
      </c>
      <c r="P387" s="60"/>
      <c r="Q387" s="48" t="str">
        <f t="shared" si="24"/>
        <v/>
      </c>
      <c r="R387" s="60"/>
      <c r="S387" s="60"/>
      <c r="T387" s="48" t="str">
        <f t="shared" si="21"/>
        <v/>
      </c>
      <c r="U387" s="42" t="str" cm="1">
        <f t="array" ref="U387">_xlfn.IFS(OR(Q387="", T387="", Q387=0, "", T387=0), "", AND(T387&lt;=Q387,D387&lt;=Q387), "Y", OR(T387&gt;Q387,D387&gt;Q387), "N")</f>
        <v/>
      </c>
      <c r="V387" s="62"/>
      <c r="W387" s="63"/>
    </row>
    <row r="388" spans="1:23" x14ac:dyDescent="0.25">
      <c r="A388" s="58"/>
      <c r="B388" s="59"/>
      <c r="C388" s="59"/>
      <c r="D388" s="60"/>
      <c r="E388" s="59"/>
      <c r="F388" s="59"/>
      <c r="G388" s="60"/>
      <c r="H388" s="43" t="str" cm="1">
        <f t="array" ref="H388">IF(OR(F388="", G388=""), "",
  _xlfn.LET(
    _xlpm.rowIndex, MATCH(F388, INDEX(IncomeTable,,1), 0),
    _xlpm.thresholds, INDEX(IncomeTable, _xlpm.rowIndex, 2):INDEX(IncomeTable, _xlpm.rowIndex, 8),
    _xlpm.labels, {20,30,40,50,60,70,80},
    _xlpm.income, G388,
    IF(_xlpm.income &lt; INDEX(_xlpm.thresholds,1), "Below 20%",
      IF(_xlpm.income &gt; INDEX(_xlpm.thresholds,7), "Above 80%",
        INDEX(_xlpm.labels, _xlfn.XLOOKUP(_xlpm.income, _xlpm.thresholds, _xlfn.SEQUENCE(1,7), , -1))
      )
    )
  )
)</f>
        <v/>
      </c>
      <c r="I388" s="42" t="str">
        <f t="shared" si="23"/>
        <v/>
      </c>
      <c r="J388" s="61"/>
      <c r="K388" s="61"/>
      <c r="L388" s="61"/>
      <c r="M388" s="61"/>
      <c r="N388" s="47" t="str">
        <f t="shared" si="22"/>
        <v/>
      </c>
      <c r="O388" s="48" t="str">
        <f>IF(OR(C388="", B388=""), "",
  INDEX(RentTable, MATCH(B388, {0,1,2,3,4}, 0), MATCH(C388, {20,30,40,50,60,70,80}, 1))
)</f>
        <v/>
      </c>
      <c r="P388" s="60"/>
      <c r="Q388" s="48" t="str">
        <f t="shared" si="24"/>
        <v/>
      </c>
      <c r="R388" s="60"/>
      <c r="S388" s="60"/>
      <c r="T388" s="48" t="str">
        <f t="shared" si="21"/>
        <v/>
      </c>
      <c r="U388" s="42" t="str" cm="1">
        <f t="array" ref="U388">_xlfn.IFS(OR(Q388="", T388="", Q388=0, "", T388=0), "", AND(T388&lt;=Q388,D388&lt;=Q388), "Y", OR(T388&gt;Q388,D388&gt;Q388), "N")</f>
        <v/>
      </c>
      <c r="V388" s="62"/>
      <c r="W388" s="63"/>
    </row>
    <row r="389" spans="1:23" x14ac:dyDescent="0.25">
      <c r="A389" s="58"/>
      <c r="B389" s="59"/>
      <c r="C389" s="59"/>
      <c r="D389" s="60"/>
      <c r="E389" s="59"/>
      <c r="F389" s="59"/>
      <c r="G389" s="60"/>
      <c r="H389" s="43" t="str" cm="1">
        <f t="array" ref="H389">IF(OR(F389="", G389=""), "",
  _xlfn.LET(
    _xlpm.rowIndex, MATCH(F389, INDEX(IncomeTable,,1), 0),
    _xlpm.thresholds, INDEX(IncomeTable, _xlpm.rowIndex, 2):INDEX(IncomeTable, _xlpm.rowIndex, 8),
    _xlpm.labels, {20,30,40,50,60,70,80},
    _xlpm.income, G389,
    IF(_xlpm.income &lt; INDEX(_xlpm.thresholds,1), "Below 20%",
      IF(_xlpm.income &gt; INDEX(_xlpm.thresholds,7), "Above 80%",
        INDEX(_xlpm.labels, _xlfn.XLOOKUP(_xlpm.income, _xlpm.thresholds, _xlfn.SEQUENCE(1,7), , -1))
      )
    )
  )
)</f>
        <v/>
      </c>
      <c r="I389" s="42" t="str">
        <f t="shared" si="23"/>
        <v/>
      </c>
      <c r="J389" s="61"/>
      <c r="K389" s="61"/>
      <c r="L389" s="61"/>
      <c r="M389" s="61"/>
      <c r="N389" s="47" t="str">
        <f t="shared" si="22"/>
        <v/>
      </c>
      <c r="O389" s="48" t="str">
        <f>IF(OR(C389="", B389=""), "",
  INDEX(RentTable, MATCH(B389, {0,1,2,3,4}, 0), MATCH(C389, {20,30,40,50,60,70,80}, 1))
)</f>
        <v/>
      </c>
      <c r="P389" s="60"/>
      <c r="Q389" s="48" t="str">
        <f t="shared" si="24"/>
        <v/>
      </c>
      <c r="R389" s="60"/>
      <c r="S389" s="60"/>
      <c r="T389" s="48" t="str">
        <f t="shared" si="21"/>
        <v/>
      </c>
      <c r="U389" s="42" t="str" cm="1">
        <f t="array" ref="U389">_xlfn.IFS(OR(Q389="", T389="", Q389=0, "", T389=0), "", AND(T389&lt;=Q389,D389&lt;=Q389), "Y", OR(T389&gt;Q389,D389&gt;Q389), "N")</f>
        <v/>
      </c>
      <c r="V389" s="62"/>
      <c r="W389" s="63"/>
    </row>
    <row r="390" spans="1:23" x14ac:dyDescent="0.25">
      <c r="A390" s="58"/>
      <c r="B390" s="59"/>
      <c r="C390" s="59"/>
      <c r="D390" s="60"/>
      <c r="E390" s="59"/>
      <c r="F390" s="59"/>
      <c r="G390" s="60"/>
      <c r="H390" s="43" t="str" cm="1">
        <f t="array" ref="H390">IF(OR(F390="", G390=""), "",
  _xlfn.LET(
    _xlpm.rowIndex, MATCH(F390, INDEX(IncomeTable,,1), 0),
    _xlpm.thresholds, INDEX(IncomeTable, _xlpm.rowIndex, 2):INDEX(IncomeTable, _xlpm.rowIndex, 8),
    _xlpm.labels, {20,30,40,50,60,70,80},
    _xlpm.income, G390,
    IF(_xlpm.income &lt; INDEX(_xlpm.thresholds,1), "Below 20%",
      IF(_xlpm.income &gt; INDEX(_xlpm.thresholds,7), "Above 80%",
        INDEX(_xlpm.labels, _xlfn.XLOOKUP(_xlpm.income, _xlpm.thresholds, _xlfn.SEQUENCE(1,7), , -1))
      )
    )
  )
)</f>
        <v/>
      </c>
      <c r="I390" s="42" t="str">
        <f t="shared" si="23"/>
        <v/>
      </c>
      <c r="J390" s="61"/>
      <c r="K390" s="61"/>
      <c r="L390" s="61"/>
      <c r="M390" s="61"/>
      <c r="N390" s="47" t="str">
        <f t="shared" si="22"/>
        <v/>
      </c>
      <c r="O390" s="48" t="str">
        <f>IF(OR(C390="", B390=""), "",
  INDEX(RentTable, MATCH(B390, {0,1,2,3,4}, 0), MATCH(C390, {20,30,40,50,60,70,80}, 1))
)</f>
        <v/>
      </c>
      <c r="P390" s="60"/>
      <c r="Q390" s="48" t="str">
        <f t="shared" si="24"/>
        <v/>
      </c>
      <c r="R390" s="60"/>
      <c r="S390" s="60"/>
      <c r="T390" s="48" t="str">
        <f t="shared" si="21"/>
        <v/>
      </c>
      <c r="U390" s="42" t="str" cm="1">
        <f t="array" ref="U390">_xlfn.IFS(OR(Q390="", T390="", Q390=0, "", T390=0), "", AND(T390&lt;=Q390,D390&lt;=Q390), "Y", OR(T390&gt;Q390,D390&gt;Q390), "N")</f>
        <v/>
      </c>
      <c r="V390" s="62"/>
      <c r="W390" s="63"/>
    </row>
    <row r="391" spans="1:23" x14ac:dyDescent="0.25">
      <c r="A391" s="58"/>
      <c r="B391" s="59"/>
      <c r="C391" s="59"/>
      <c r="D391" s="60"/>
      <c r="E391" s="59"/>
      <c r="F391" s="59"/>
      <c r="G391" s="60"/>
      <c r="H391" s="43" t="str" cm="1">
        <f t="array" ref="H391">IF(OR(F391="", G391=""), "",
  _xlfn.LET(
    _xlpm.rowIndex, MATCH(F391, INDEX(IncomeTable,,1), 0),
    _xlpm.thresholds, INDEX(IncomeTable, _xlpm.rowIndex, 2):INDEX(IncomeTable, _xlpm.rowIndex, 8),
    _xlpm.labels, {20,30,40,50,60,70,80},
    _xlpm.income, G391,
    IF(_xlpm.income &lt; INDEX(_xlpm.thresholds,1), "Below 20%",
      IF(_xlpm.income &gt; INDEX(_xlpm.thresholds,7), "Above 80%",
        INDEX(_xlpm.labels, _xlfn.XLOOKUP(_xlpm.income, _xlpm.thresholds, _xlfn.SEQUENCE(1,7), , -1))
      )
    )
  )
)</f>
        <v/>
      </c>
      <c r="I391" s="42" t="str">
        <f t="shared" si="23"/>
        <v/>
      </c>
      <c r="J391" s="61"/>
      <c r="K391" s="61"/>
      <c r="L391" s="61"/>
      <c r="M391" s="61"/>
      <c r="N391" s="47" t="str">
        <f t="shared" si="22"/>
        <v/>
      </c>
      <c r="O391" s="48" t="str">
        <f>IF(OR(C391="", B391=""), "",
  INDEX(RentTable, MATCH(B391, {0,1,2,3,4}, 0), MATCH(C391, {20,30,40,50,60,70,80}, 1))
)</f>
        <v/>
      </c>
      <c r="P391" s="60"/>
      <c r="Q391" s="48" t="str">
        <f t="shared" si="24"/>
        <v/>
      </c>
      <c r="R391" s="60"/>
      <c r="S391" s="60"/>
      <c r="T391" s="48" t="str">
        <f t="shared" si="21"/>
        <v/>
      </c>
      <c r="U391" s="42" t="str" cm="1">
        <f t="array" ref="U391">_xlfn.IFS(OR(Q391="", T391="", Q391=0, "", T391=0), "", AND(T391&lt;=Q391,D391&lt;=Q391), "Y", OR(T391&gt;Q391,D391&gt;Q391), "N")</f>
        <v/>
      </c>
      <c r="V391" s="62"/>
      <c r="W391" s="63"/>
    </row>
    <row r="392" spans="1:23" x14ac:dyDescent="0.25">
      <c r="A392" s="58"/>
      <c r="B392" s="59"/>
      <c r="C392" s="59"/>
      <c r="D392" s="60"/>
      <c r="E392" s="59"/>
      <c r="F392" s="59"/>
      <c r="G392" s="60"/>
      <c r="H392" s="43" t="str" cm="1">
        <f t="array" ref="H392">IF(OR(F392="", G392=""), "",
  _xlfn.LET(
    _xlpm.rowIndex, MATCH(F392, INDEX(IncomeTable,,1), 0),
    _xlpm.thresholds, INDEX(IncomeTable, _xlpm.rowIndex, 2):INDEX(IncomeTable, _xlpm.rowIndex, 8),
    _xlpm.labels, {20,30,40,50,60,70,80},
    _xlpm.income, G392,
    IF(_xlpm.income &lt; INDEX(_xlpm.thresholds,1), "Below 20%",
      IF(_xlpm.income &gt; INDEX(_xlpm.thresholds,7), "Above 80%",
        INDEX(_xlpm.labels, _xlfn.XLOOKUP(_xlpm.income, _xlpm.thresholds, _xlfn.SEQUENCE(1,7), , -1))
      )
    )
  )
)</f>
        <v/>
      </c>
      <c r="I392" s="42" t="str">
        <f t="shared" si="23"/>
        <v/>
      </c>
      <c r="J392" s="61"/>
      <c r="K392" s="61"/>
      <c r="L392" s="61"/>
      <c r="M392" s="61"/>
      <c r="N392" s="47" t="str">
        <f t="shared" si="22"/>
        <v/>
      </c>
      <c r="O392" s="48" t="str">
        <f>IF(OR(C392="", B392=""), "",
  INDEX(RentTable, MATCH(B392, {0,1,2,3,4}, 0), MATCH(C392, {20,30,40,50,60,70,80}, 1))
)</f>
        <v/>
      </c>
      <c r="P392" s="60"/>
      <c r="Q392" s="48" t="str">
        <f t="shared" si="24"/>
        <v/>
      </c>
      <c r="R392" s="60"/>
      <c r="S392" s="60"/>
      <c r="T392" s="48" t="str">
        <f t="shared" si="21"/>
        <v/>
      </c>
      <c r="U392" s="42" t="str" cm="1">
        <f t="array" ref="U392">_xlfn.IFS(OR(Q392="", T392="", Q392=0, "", T392=0), "", AND(T392&lt;=Q392,D392&lt;=Q392), "Y", OR(T392&gt;Q392,D392&gt;Q392), "N")</f>
        <v/>
      </c>
      <c r="V392" s="62"/>
      <c r="W392" s="63"/>
    </row>
    <row r="393" spans="1:23" x14ac:dyDescent="0.25">
      <c r="A393" s="58"/>
      <c r="B393" s="59"/>
      <c r="C393" s="59"/>
      <c r="D393" s="60"/>
      <c r="E393" s="59"/>
      <c r="F393" s="59"/>
      <c r="G393" s="60"/>
      <c r="H393" s="43" t="str" cm="1">
        <f t="array" ref="H393">IF(OR(F393="", G393=""), "",
  _xlfn.LET(
    _xlpm.rowIndex, MATCH(F393, INDEX(IncomeTable,,1), 0),
    _xlpm.thresholds, INDEX(IncomeTable, _xlpm.rowIndex, 2):INDEX(IncomeTable, _xlpm.rowIndex, 8),
    _xlpm.labels, {20,30,40,50,60,70,80},
    _xlpm.income, G393,
    IF(_xlpm.income &lt; INDEX(_xlpm.thresholds,1), "Below 20%",
      IF(_xlpm.income &gt; INDEX(_xlpm.thresholds,7), "Above 80%",
        INDEX(_xlpm.labels, _xlfn.XLOOKUP(_xlpm.income, _xlpm.thresholds, _xlfn.SEQUENCE(1,7), , -1))
      )
    )
  )
)</f>
        <v/>
      </c>
      <c r="I393" s="42" t="str">
        <f t="shared" si="23"/>
        <v/>
      </c>
      <c r="J393" s="61"/>
      <c r="K393" s="61"/>
      <c r="L393" s="61"/>
      <c r="M393" s="61"/>
      <c r="N393" s="47" t="str">
        <f t="shared" si="22"/>
        <v/>
      </c>
      <c r="O393" s="48" t="str">
        <f>IF(OR(C393="", B393=""), "",
  INDEX(RentTable, MATCH(B393, {0,1,2,3,4}, 0), MATCH(C393, {20,30,40,50,60,70,80}, 1))
)</f>
        <v/>
      </c>
      <c r="P393" s="60"/>
      <c r="Q393" s="48" t="str">
        <f t="shared" si="24"/>
        <v/>
      </c>
      <c r="R393" s="60"/>
      <c r="S393" s="60"/>
      <c r="T393" s="48" t="str">
        <f t="shared" si="21"/>
        <v/>
      </c>
      <c r="U393" s="42" t="str" cm="1">
        <f t="array" ref="U393">_xlfn.IFS(OR(Q393="", T393="", Q393=0, "", T393=0), "", AND(T393&lt;=Q393,D393&lt;=Q393), "Y", OR(T393&gt;Q393,D393&gt;Q393), "N")</f>
        <v/>
      </c>
      <c r="V393" s="62"/>
      <c r="W393" s="63"/>
    </row>
    <row r="394" spans="1:23" x14ac:dyDescent="0.25">
      <c r="A394" s="58"/>
      <c r="B394" s="59"/>
      <c r="C394" s="59"/>
      <c r="D394" s="60"/>
      <c r="E394" s="59"/>
      <c r="F394" s="59"/>
      <c r="G394" s="60"/>
      <c r="H394" s="43" t="str" cm="1">
        <f t="array" ref="H394">IF(OR(F394="", G394=""), "",
  _xlfn.LET(
    _xlpm.rowIndex, MATCH(F394, INDEX(IncomeTable,,1), 0),
    _xlpm.thresholds, INDEX(IncomeTable, _xlpm.rowIndex, 2):INDEX(IncomeTable, _xlpm.rowIndex, 8),
    _xlpm.labels, {20,30,40,50,60,70,80},
    _xlpm.income, G394,
    IF(_xlpm.income &lt; INDEX(_xlpm.thresholds,1), "Below 20%",
      IF(_xlpm.income &gt; INDEX(_xlpm.thresholds,7), "Above 80%",
        INDEX(_xlpm.labels, _xlfn.XLOOKUP(_xlpm.income, _xlpm.thresholds, _xlfn.SEQUENCE(1,7), , -1))
      )
    )
  )
)</f>
        <v/>
      </c>
      <c r="I394" s="42" t="str">
        <f t="shared" si="23"/>
        <v/>
      </c>
      <c r="J394" s="61"/>
      <c r="K394" s="61"/>
      <c r="L394" s="61"/>
      <c r="M394" s="61"/>
      <c r="N394" s="47" t="str">
        <f t="shared" si="22"/>
        <v/>
      </c>
      <c r="O394" s="48" t="str">
        <f>IF(OR(C394="", B394=""), "",
  INDEX(RentTable, MATCH(B394, {0,1,2,3,4}, 0), MATCH(C394, {20,30,40,50,60,70,80}, 1))
)</f>
        <v/>
      </c>
      <c r="P394" s="60"/>
      <c r="Q394" s="48" t="str">
        <f t="shared" si="24"/>
        <v/>
      </c>
      <c r="R394" s="60"/>
      <c r="S394" s="60"/>
      <c r="T394" s="48" t="str">
        <f t="shared" si="21"/>
        <v/>
      </c>
      <c r="U394" s="42" t="str" cm="1">
        <f t="array" ref="U394">_xlfn.IFS(OR(Q394="", T394="", Q394=0, "", T394=0), "", AND(T394&lt;=Q394,D394&lt;=Q394), "Y", OR(T394&gt;Q394,D394&gt;Q394), "N")</f>
        <v/>
      </c>
      <c r="V394" s="62"/>
      <c r="W394" s="63"/>
    </row>
    <row r="395" spans="1:23" x14ac:dyDescent="0.25">
      <c r="A395" s="58"/>
      <c r="B395" s="59"/>
      <c r="C395" s="59"/>
      <c r="D395" s="60"/>
      <c r="E395" s="59"/>
      <c r="F395" s="59"/>
      <c r="G395" s="60"/>
      <c r="H395" s="43" t="str" cm="1">
        <f t="array" ref="H395">IF(OR(F395="", G395=""), "",
  _xlfn.LET(
    _xlpm.rowIndex, MATCH(F395, INDEX(IncomeTable,,1), 0),
    _xlpm.thresholds, INDEX(IncomeTable, _xlpm.rowIndex, 2):INDEX(IncomeTable, _xlpm.rowIndex, 8),
    _xlpm.labels, {20,30,40,50,60,70,80},
    _xlpm.income, G395,
    IF(_xlpm.income &lt; INDEX(_xlpm.thresholds,1), "Below 20%",
      IF(_xlpm.income &gt; INDEX(_xlpm.thresholds,7), "Above 80%",
        INDEX(_xlpm.labels, _xlfn.XLOOKUP(_xlpm.income, _xlpm.thresholds, _xlfn.SEQUENCE(1,7), , -1))
      )
    )
  )
)</f>
        <v/>
      </c>
      <c r="I395" s="42" t="str">
        <f t="shared" si="23"/>
        <v/>
      </c>
      <c r="J395" s="61"/>
      <c r="K395" s="61"/>
      <c r="L395" s="61"/>
      <c r="M395" s="61"/>
      <c r="N395" s="47" t="str">
        <f t="shared" si="22"/>
        <v/>
      </c>
      <c r="O395" s="48" t="str">
        <f>IF(OR(C395="", B395=""), "",
  INDEX(RentTable, MATCH(B395, {0,1,2,3,4}, 0), MATCH(C395, {20,30,40,50,60,70,80}, 1))
)</f>
        <v/>
      </c>
      <c r="P395" s="60"/>
      <c r="Q395" s="48" t="str">
        <f t="shared" si="24"/>
        <v/>
      </c>
      <c r="R395" s="60"/>
      <c r="S395" s="60"/>
      <c r="T395" s="48" t="str">
        <f t="shared" si="21"/>
        <v/>
      </c>
      <c r="U395" s="42" t="str" cm="1">
        <f t="array" ref="U395">_xlfn.IFS(OR(Q395="", T395="", Q395=0, "", T395=0), "", AND(T395&lt;=Q395,D395&lt;=Q395), "Y", OR(T395&gt;Q395,D395&gt;Q395), "N")</f>
        <v/>
      </c>
      <c r="V395" s="62"/>
      <c r="W395" s="63"/>
    </row>
    <row r="396" spans="1:23" x14ac:dyDescent="0.25">
      <c r="A396" s="58"/>
      <c r="B396" s="59"/>
      <c r="C396" s="59"/>
      <c r="D396" s="60"/>
      <c r="E396" s="59"/>
      <c r="F396" s="59"/>
      <c r="G396" s="60"/>
      <c r="H396" s="43" t="str" cm="1">
        <f t="array" ref="H396">IF(OR(F396="", G396=""), "",
  _xlfn.LET(
    _xlpm.rowIndex, MATCH(F396, INDEX(IncomeTable,,1), 0),
    _xlpm.thresholds, INDEX(IncomeTable, _xlpm.rowIndex, 2):INDEX(IncomeTable, _xlpm.rowIndex, 8),
    _xlpm.labels, {20,30,40,50,60,70,80},
    _xlpm.income, G396,
    IF(_xlpm.income &lt; INDEX(_xlpm.thresholds,1), "Below 20%",
      IF(_xlpm.income &gt; INDEX(_xlpm.thresholds,7), "Above 80%",
        INDEX(_xlpm.labels, _xlfn.XLOOKUP(_xlpm.income, _xlpm.thresholds, _xlfn.SEQUENCE(1,7), , -1))
      )
    )
  )
)</f>
        <v/>
      </c>
      <c r="I396" s="42" t="str">
        <f t="shared" si="23"/>
        <v/>
      </c>
      <c r="J396" s="61"/>
      <c r="K396" s="61"/>
      <c r="L396" s="61"/>
      <c r="M396" s="61"/>
      <c r="N396" s="47" t="str">
        <f t="shared" si="22"/>
        <v/>
      </c>
      <c r="O396" s="48" t="str">
        <f>IF(OR(C396="", B396=""), "",
  INDEX(RentTable, MATCH(B396, {0,1,2,3,4}, 0), MATCH(C396, {20,30,40,50,60,70,80}, 1))
)</f>
        <v/>
      </c>
      <c r="P396" s="60"/>
      <c r="Q396" s="48" t="str">
        <f t="shared" si="24"/>
        <v/>
      </c>
      <c r="R396" s="60"/>
      <c r="S396" s="60"/>
      <c r="T396" s="48" t="str">
        <f t="shared" si="21"/>
        <v/>
      </c>
      <c r="U396" s="42" t="str" cm="1">
        <f t="array" ref="U396">_xlfn.IFS(OR(Q396="", T396="", Q396=0, "", T396=0), "", AND(T396&lt;=Q396,D396&lt;=Q396), "Y", OR(T396&gt;Q396,D396&gt;Q396), "N")</f>
        <v/>
      </c>
      <c r="V396" s="62"/>
      <c r="W396" s="63"/>
    </row>
    <row r="397" spans="1:23" x14ac:dyDescent="0.25">
      <c r="A397" s="58"/>
      <c r="B397" s="59"/>
      <c r="C397" s="59"/>
      <c r="D397" s="60"/>
      <c r="E397" s="59"/>
      <c r="F397" s="59"/>
      <c r="G397" s="60"/>
      <c r="H397" s="43" t="str" cm="1">
        <f t="array" ref="H397">IF(OR(F397="", G397=""), "",
  _xlfn.LET(
    _xlpm.rowIndex, MATCH(F397, INDEX(IncomeTable,,1), 0),
    _xlpm.thresholds, INDEX(IncomeTable, _xlpm.rowIndex, 2):INDEX(IncomeTable, _xlpm.rowIndex, 8),
    _xlpm.labels, {20,30,40,50,60,70,80},
    _xlpm.income, G397,
    IF(_xlpm.income &lt; INDEX(_xlpm.thresholds,1), "Below 20%",
      IF(_xlpm.income &gt; INDEX(_xlpm.thresholds,7), "Above 80%",
        INDEX(_xlpm.labels, _xlfn.XLOOKUP(_xlpm.income, _xlpm.thresholds, _xlfn.SEQUENCE(1,7), , -1))
      )
    )
  )
)</f>
        <v/>
      </c>
      <c r="I397" s="42" t="str">
        <f t="shared" si="23"/>
        <v/>
      </c>
      <c r="J397" s="61"/>
      <c r="K397" s="61"/>
      <c r="L397" s="61"/>
      <c r="M397" s="61"/>
      <c r="N397" s="47" t="str">
        <f t="shared" si="22"/>
        <v/>
      </c>
      <c r="O397" s="48" t="str">
        <f>IF(OR(C397="", B397=""), "",
  INDEX(RentTable, MATCH(B397, {0,1,2,3,4}, 0), MATCH(C397, {20,30,40,50,60,70,80}, 1))
)</f>
        <v/>
      </c>
      <c r="P397" s="60"/>
      <c r="Q397" s="48" t="str">
        <f t="shared" si="24"/>
        <v/>
      </c>
      <c r="R397" s="60"/>
      <c r="S397" s="60"/>
      <c r="T397" s="48" t="str">
        <f t="shared" si="21"/>
        <v/>
      </c>
      <c r="U397" s="42" t="str" cm="1">
        <f t="array" ref="U397">_xlfn.IFS(OR(Q397="", T397="", Q397=0, "", T397=0), "", AND(T397&lt;=Q397,D397&lt;=Q397), "Y", OR(T397&gt;Q397,D397&gt;Q397), "N")</f>
        <v/>
      </c>
      <c r="V397" s="62"/>
      <c r="W397" s="63"/>
    </row>
    <row r="398" spans="1:23" x14ac:dyDescent="0.25">
      <c r="A398" s="58"/>
      <c r="B398" s="59"/>
      <c r="C398" s="59"/>
      <c r="D398" s="60"/>
      <c r="E398" s="59"/>
      <c r="F398" s="59"/>
      <c r="G398" s="60"/>
      <c r="H398" s="43" t="str" cm="1">
        <f t="array" ref="H398">IF(OR(F398="", G398=""), "",
  _xlfn.LET(
    _xlpm.rowIndex, MATCH(F398, INDEX(IncomeTable,,1), 0),
    _xlpm.thresholds, INDEX(IncomeTable, _xlpm.rowIndex, 2):INDEX(IncomeTable, _xlpm.rowIndex, 8),
    _xlpm.labels, {20,30,40,50,60,70,80},
    _xlpm.income, G398,
    IF(_xlpm.income &lt; INDEX(_xlpm.thresholds,1), "Below 20%",
      IF(_xlpm.income &gt; INDEX(_xlpm.thresholds,7), "Above 80%",
        INDEX(_xlpm.labels, _xlfn.XLOOKUP(_xlpm.income, _xlpm.thresholds, _xlfn.SEQUENCE(1,7), , -1))
      )
    )
  )
)</f>
        <v/>
      </c>
      <c r="I398" s="42" t="str">
        <f t="shared" si="23"/>
        <v/>
      </c>
      <c r="J398" s="61"/>
      <c r="K398" s="61"/>
      <c r="L398" s="61"/>
      <c r="M398" s="61"/>
      <c r="N398" s="47" t="str">
        <f t="shared" si="22"/>
        <v/>
      </c>
      <c r="O398" s="48" t="str">
        <f>IF(OR(C398="", B398=""), "",
  INDEX(RentTable, MATCH(B398, {0,1,2,3,4}, 0), MATCH(C398, {20,30,40,50,60,70,80}, 1))
)</f>
        <v/>
      </c>
      <c r="P398" s="60"/>
      <c r="Q398" s="48" t="str">
        <f t="shared" si="24"/>
        <v/>
      </c>
      <c r="R398" s="60"/>
      <c r="S398" s="60"/>
      <c r="T398" s="48" t="str">
        <f t="shared" si="21"/>
        <v/>
      </c>
      <c r="U398" s="42" t="str" cm="1">
        <f t="array" ref="U398">_xlfn.IFS(OR(Q398="", T398="", Q398=0, "", T398=0), "", AND(T398&lt;=Q398,D398&lt;=Q398), "Y", OR(T398&gt;Q398,D398&gt;Q398), "N")</f>
        <v/>
      </c>
      <c r="V398" s="62"/>
      <c r="W398" s="63"/>
    </row>
    <row r="399" spans="1:23" x14ac:dyDescent="0.25">
      <c r="A399" s="58"/>
      <c r="B399" s="59"/>
      <c r="C399" s="59"/>
      <c r="D399" s="60"/>
      <c r="E399" s="59"/>
      <c r="F399" s="59"/>
      <c r="G399" s="60"/>
      <c r="H399" s="43" t="str" cm="1">
        <f t="array" ref="H399">IF(OR(F399="", G399=""), "",
  _xlfn.LET(
    _xlpm.rowIndex, MATCH(F399, INDEX(IncomeTable,,1), 0),
    _xlpm.thresholds, INDEX(IncomeTable, _xlpm.rowIndex, 2):INDEX(IncomeTable, _xlpm.rowIndex, 8),
    _xlpm.labels, {20,30,40,50,60,70,80},
    _xlpm.income, G399,
    IF(_xlpm.income &lt; INDEX(_xlpm.thresholds,1), "Below 20%",
      IF(_xlpm.income &gt; INDEX(_xlpm.thresholds,7), "Above 80%",
        INDEX(_xlpm.labels, _xlfn.XLOOKUP(_xlpm.income, _xlpm.thresholds, _xlfn.SEQUENCE(1,7), , -1))
      )
    )
  )
)</f>
        <v/>
      </c>
      <c r="I399" s="42" t="str">
        <f t="shared" si="23"/>
        <v/>
      </c>
      <c r="J399" s="61"/>
      <c r="K399" s="61"/>
      <c r="L399" s="61"/>
      <c r="M399" s="61"/>
      <c r="N399" s="47" t="str">
        <f t="shared" si="22"/>
        <v/>
      </c>
      <c r="O399" s="48" t="str">
        <f>IF(OR(C399="", B399=""), "",
  INDEX(RentTable, MATCH(B399, {0,1,2,3,4}, 0), MATCH(C399, {20,30,40,50,60,70,80}, 1))
)</f>
        <v/>
      </c>
      <c r="P399" s="60"/>
      <c r="Q399" s="48" t="str">
        <f t="shared" si="24"/>
        <v/>
      </c>
      <c r="R399" s="60"/>
      <c r="S399" s="60"/>
      <c r="T399" s="48" t="str">
        <f t="shared" si="21"/>
        <v/>
      </c>
      <c r="U399" s="42" t="str" cm="1">
        <f t="array" ref="U399">_xlfn.IFS(OR(Q399="", T399="", Q399=0, "", T399=0), "", AND(T399&lt;=Q399,D399&lt;=Q399), "Y", OR(T399&gt;Q399,D399&gt;Q399), "N")</f>
        <v/>
      </c>
      <c r="V399" s="62"/>
      <c r="W399" s="63"/>
    </row>
    <row r="400" spans="1:23" x14ac:dyDescent="0.25">
      <c r="A400" s="58"/>
      <c r="B400" s="59"/>
      <c r="C400" s="59"/>
      <c r="D400" s="60"/>
      <c r="E400" s="59"/>
      <c r="F400" s="59"/>
      <c r="G400" s="60"/>
      <c r="H400" s="43" t="str" cm="1">
        <f t="array" ref="H400">IF(OR(F400="", G400=""), "",
  _xlfn.LET(
    _xlpm.rowIndex, MATCH(F400, INDEX(IncomeTable,,1), 0),
    _xlpm.thresholds, INDEX(IncomeTable, _xlpm.rowIndex, 2):INDEX(IncomeTable, _xlpm.rowIndex, 8),
    _xlpm.labels, {20,30,40,50,60,70,80},
    _xlpm.income, G400,
    IF(_xlpm.income &lt; INDEX(_xlpm.thresholds,1), "Below 20%",
      IF(_xlpm.income &gt; INDEX(_xlpm.thresholds,7), "Above 80%",
        INDEX(_xlpm.labels, _xlfn.XLOOKUP(_xlpm.income, _xlpm.thresholds, _xlfn.SEQUENCE(1,7), , -1))
      )
    )
  )
)</f>
        <v/>
      </c>
      <c r="I400" s="42" t="str">
        <f t="shared" si="23"/>
        <v/>
      </c>
      <c r="J400" s="61"/>
      <c r="K400" s="61"/>
      <c r="L400" s="61"/>
      <c r="M400" s="61"/>
      <c r="N400" s="47" t="str">
        <f t="shared" si="22"/>
        <v/>
      </c>
      <c r="O400" s="48" t="str">
        <f>IF(OR(C400="", B400=""), "",
  INDEX(RentTable, MATCH(B400, {0,1,2,3,4}, 0), MATCH(C400, {20,30,40,50,60,70,80}, 1))
)</f>
        <v/>
      </c>
      <c r="P400" s="60"/>
      <c r="Q400" s="48" t="str">
        <f t="shared" si="24"/>
        <v/>
      </c>
      <c r="R400" s="60"/>
      <c r="S400" s="60"/>
      <c r="T400" s="48" t="str">
        <f t="shared" si="21"/>
        <v/>
      </c>
      <c r="U400" s="42" t="str" cm="1">
        <f t="array" ref="U400">_xlfn.IFS(OR(Q400="", T400="", Q400=0, "", T400=0), "", AND(T400&lt;=Q400,D400&lt;=Q400), "Y", OR(T400&gt;Q400,D400&gt;Q400), "N")</f>
        <v/>
      </c>
      <c r="V400" s="62"/>
      <c r="W400" s="63"/>
    </row>
    <row r="401" spans="1:23" x14ac:dyDescent="0.25">
      <c r="A401" s="58"/>
      <c r="B401" s="59"/>
      <c r="C401" s="59"/>
      <c r="D401" s="60"/>
      <c r="E401" s="59"/>
      <c r="F401" s="59"/>
      <c r="G401" s="60"/>
      <c r="H401" s="43" t="str" cm="1">
        <f t="array" ref="H401">IF(OR(F401="", G401=""), "",
  _xlfn.LET(
    _xlpm.rowIndex, MATCH(F401, INDEX(IncomeTable,,1), 0),
    _xlpm.thresholds, INDEX(IncomeTable, _xlpm.rowIndex, 2):INDEX(IncomeTable, _xlpm.rowIndex, 8),
    _xlpm.labels, {20,30,40,50,60,70,80},
    _xlpm.income, G401,
    IF(_xlpm.income &lt; INDEX(_xlpm.thresholds,1), "Below 20%",
      IF(_xlpm.income &gt; INDEX(_xlpm.thresholds,7), "Above 80%",
        INDEX(_xlpm.labels, _xlfn.XLOOKUP(_xlpm.income, _xlpm.thresholds, _xlfn.SEQUENCE(1,7), , -1))
      )
    )
  )
)</f>
        <v/>
      </c>
      <c r="I401" s="42" t="str">
        <f t="shared" si="23"/>
        <v/>
      </c>
      <c r="J401" s="61"/>
      <c r="K401" s="61"/>
      <c r="L401" s="61"/>
      <c r="M401" s="61"/>
      <c r="N401" s="47" t="str">
        <f t="shared" si="22"/>
        <v/>
      </c>
      <c r="O401" s="48" t="str">
        <f>IF(OR(C401="", B401=""), "",
  INDEX(RentTable, MATCH(B401, {0,1,2,3,4}, 0), MATCH(C401, {20,30,40,50,60,70,80}, 1))
)</f>
        <v/>
      </c>
      <c r="P401" s="60"/>
      <c r="Q401" s="48" t="str">
        <f t="shared" si="24"/>
        <v/>
      </c>
      <c r="R401" s="60"/>
      <c r="S401" s="60"/>
      <c r="T401" s="48" t="str">
        <f t="shared" si="21"/>
        <v/>
      </c>
      <c r="U401" s="42" t="str" cm="1">
        <f t="array" ref="U401">_xlfn.IFS(OR(Q401="", T401="", Q401=0, "", T401=0), "", AND(T401&lt;=Q401,D401&lt;=Q401), "Y", OR(T401&gt;Q401,D401&gt;Q401), "N")</f>
        <v/>
      </c>
      <c r="V401" s="62"/>
      <c r="W401" s="63"/>
    </row>
    <row r="402" spans="1:23" x14ac:dyDescent="0.25">
      <c r="A402" s="58"/>
      <c r="B402" s="59"/>
      <c r="C402" s="59"/>
      <c r="D402" s="60"/>
      <c r="E402" s="59"/>
      <c r="F402" s="59"/>
      <c r="G402" s="60"/>
      <c r="H402" s="43" t="str" cm="1">
        <f t="array" ref="H402">IF(OR(F402="", G402=""), "",
  _xlfn.LET(
    _xlpm.rowIndex, MATCH(F402, INDEX(IncomeTable,,1), 0),
    _xlpm.thresholds, INDEX(IncomeTable, _xlpm.rowIndex, 2):INDEX(IncomeTable, _xlpm.rowIndex, 8),
    _xlpm.labels, {20,30,40,50,60,70,80},
    _xlpm.income, G402,
    IF(_xlpm.income &lt; INDEX(_xlpm.thresholds,1), "Below 20%",
      IF(_xlpm.income &gt; INDEX(_xlpm.thresholds,7), "Above 80%",
        INDEX(_xlpm.labels, _xlfn.XLOOKUP(_xlpm.income, _xlpm.thresholds, _xlfn.SEQUENCE(1,7), , -1))
      )
    )
  )
)</f>
        <v/>
      </c>
      <c r="I402" s="42" t="str">
        <f t="shared" si="23"/>
        <v/>
      </c>
      <c r="J402" s="61"/>
      <c r="K402" s="61"/>
      <c r="L402" s="61"/>
      <c r="M402" s="61"/>
      <c r="N402" s="47" t="str">
        <f t="shared" si="22"/>
        <v/>
      </c>
      <c r="O402" s="48" t="str">
        <f>IF(OR(C402="", B402=""), "",
  INDEX(RentTable, MATCH(B402, {0,1,2,3,4}, 0), MATCH(C402, {20,30,40,50,60,70,80}, 1))
)</f>
        <v/>
      </c>
      <c r="P402" s="60"/>
      <c r="Q402" s="48" t="str">
        <f t="shared" si="24"/>
        <v/>
      </c>
      <c r="R402" s="60"/>
      <c r="S402" s="60"/>
      <c r="T402" s="48" t="str">
        <f t="shared" si="21"/>
        <v/>
      </c>
      <c r="U402" s="42" t="str" cm="1">
        <f t="array" ref="U402">_xlfn.IFS(OR(Q402="", T402="", Q402=0, "", T402=0), "", AND(T402&lt;=Q402,D402&lt;=Q402), "Y", OR(T402&gt;Q402,D402&gt;Q402), "N")</f>
        <v/>
      </c>
      <c r="V402" s="62"/>
      <c r="W402" s="63"/>
    </row>
    <row r="403" spans="1:23" x14ac:dyDescent="0.25">
      <c r="A403" s="58"/>
      <c r="B403" s="59"/>
      <c r="C403" s="59"/>
      <c r="D403" s="60"/>
      <c r="E403" s="59"/>
      <c r="F403" s="59"/>
      <c r="G403" s="60"/>
      <c r="H403" s="43" t="str" cm="1">
        <f t="array" ref="H403">IF(OR(F403="", G403=""), "",
  _xlfn.LET(
    _xlpm.rowIndex, MATCH(F403, INDEX(IncomeTable,,1), 0),
    _xlpm.thresholds, INDEX(IncomeTable, _xlpm.rowIndex, 2):INDEX(IncomeTable, _xlpm.rowIndex, 8),
    _xlpm.labels, {20,30,40,50,60,70,80},
    _xlpm.income, G403,
    IF(_xlpm.income &lt; INDEX(_xlpm.thresholds,1), "Below 20%",
      IF(_xlpm.income &gt; INDEX(_xlpm.thresholds,7), "Above 80%",
        INDEX(_xlpm.labels, _xlfn.XLOOKUP(_xlpm.income, _xlpm.thresholds, _xlfn.SEQUENCE(1,7), , -1))
      )
    )
  )
)</f>
        <v/>
      </c>
      <c r="I403" s="42" t="str">
        <f t="shared" si="23"/>
        <v/>
      </c>
      <c r="J403" s="61"/>
      <c r="K403" s="61"/>
      <c r="L403" s="61"/>
      <c r="M403" s="61"/>
      <c r="N403" s="47" t="str">
        <f t="shared" si="22"/>
        <v/>
      </c>
      <c r="O403" s="48" t="str">
        <f>IF(OR(C403="", B403=""), "",
  INDEX(RentTable, MATCH(B403, {0,1,2,3,4}, 0), MATCH(C403, {20,30,40,50,60,70,80}, 1))
)</f>
        <v/>
      </c>
      <c r="P403" s="60"/>
      <c r="Q403" s="48" t="str">
        <f t="shared" si="24"/>
        <v/>
      </c>
      <c r="R403" s="60"/>
      <c r="S403" s="60"/>
      <c r="T403" s="48" t="str">
        <f t="shared" si="21"/>
        <v/>
      </c>
      <c r="U403" s="42" t="str" cm="1">
        <f t="array" ref="U403">_xlfn.IFS(OR(Q403="", T403="", Q403=0, "", T403=0), "", AND(T403&lt;=Q403,D403&lt;=Q403), "Y", OR(T403&gt;Q403,D403&gt;Q403), "N")</f>
        <v/>
      </c>
      <c r="V403" s="62"/>
      <c r="W403" s="63"/>
    </row>
    <row r="404" spans="1:23" x14ac:dyDescent="0.25">
      <c r="A404" s="58"/>
      <c r="B404" s="59"/>
      <c r="C404" s="59"/>
      <c r="D404" s="60"/>
      <c r="E404" s="59"/>
      <c r="F404" s="59"/>
      <c r="G404" s="60"/>
      <c r="H404" s="43" t="str" cm="1">
        <f t="array" ref="H404">IF(OR(F404="", G404=""), "",
  _xlfn.LET(
    _xlpm.rowIndex, MATCH(F404, INDEX(IncomeTable,,1), 0),
    _xlpm.thresholds, INDEX(IncomeTable, _xlpm.rowIndex, 2):INDEX(IncomeTable, _xlpm.rowIndex, 8),
    _xlpm.labels, {20,30,40,50,60,70,80},
    _xlpm.income, G404,
    IF(_xlpm.income &lt; INDEX(_xlpm.thresholds,1), "Below 20%",
      IF(_xlpm.income &gt; INDEX(_xlpm.thresholds,7), "Above 80%",
        INDEX(_xlpm.labels, _xlfn.XLOOKUP(_xlpm.income, _xlpm.thresholds, _xlfn.SEQUENCE(1,7), , -1))
      )
    )
  )
)</f>
        <v/>
      </c>
      <c r="I404" s="42" t="str">
        <f t="shared" si="23"/>
        <v/>
      </c>
      <c r="J404" s="61"/>
      <c r="K404" s="61"/>
      <c r="L404" s="61"/>
      <c r="M404" s="61"/>
      <c r="N404" s="47" t="str">
        <f t="shared" si="22"/>
        <v/>
      </c>
      <c r="O404" s="48" t="str">
        <f>IF(OR(C404="", B404=""), "",
  INDEX(RentTable, MATCH(B404, {0,1,2,3,4}, 0), MATCH(C404, {20,30,40,50,60,70,80}, 1))
)</f>
        <v/>
      </c>
      <c r="P404" s="60"/>
      <c r="Q404" s="48" t="str">
        <f t="shared" si="24"/>
        <v/>
      </c>
      <c r="R404" s="60"/>
      <c r="S404" s="60"/>
      <c r="T404" s="48" t="str">
        <f t="shared" si="21"/>
        <v/>
      </c>
      <c r="U404" s="42" t="str" cm="1">
        <f t="array" ref="U404">_xlfn.IFS(OR(Q404="", T404="", Q404=0, "", T404=0), "", AND(T404&lt;=Q404,D404&lt;=Q404), "Y", OR(T404&gt;Q404,D404&gt;Q404), "N")</f>
        <v/>
      </c>
      <c r="V404" s="62"/>
      <c r="W404" s="63"/>
    </row>
    <row r="405" spans="1:23" x14ac:dyDescent="0.25">
      <c r="A405" s="58"/>
      <c r="B405" s="59"/>
      <c r="C405" s="59"/>
      <c r="D405" s="60"/>
      <c r="E405" s="59"/>
      <c r="F405" s="59"/>
      <c r="G405" s="60"/>
      <c r="H405" s="43" t="str" cm="1">
        <f t="array" ref="H405">IF(OR(F405="", G405=""), "",
  _xlfn.LET(
    _xlpm.rowIndex, MATCH(F405, INDEX(IncomeTable,,1), 0),
    _xlpm.thresholds, INDEX(IncomeTable, _xlpm.rowIndex, 2):INDEX(IncomeTable, _xlpm.rowIndex, 8),
    _xlpm.labels, {20,30,40,50,60,70,80},
    _xlpm.income, G405,
    IF(_xlpm.income &lt; INDEX(_xlpm.thresholds,1), "Below 20%",
      IF(_xlpm.income &gt; INDEX(_xlpm.thresholds,7), "Above 80%",
        INDEX(_xlpm.labels, _xlfn.XLOOKUP(_xlpm.income, _xlpm.thresholds, _xlfn.SEQUENCE(1,7), , -1))
      )
    )
  )
)</f>
        <v/>
      </c>
      <c r="I405" s="42" t="str">
        <f t="shared" si="23"/>
        <v/>
      </c>
      <c r="J405" s="61"/>
      <c r="K405" s="61"/>
      <c r="L405" s="61"/>
      <c r="M405" s="61"/>
      <c r="N405" s="47" t="str">
        <f t="shared" si="22"/>
        <v/>
      </c>
      <c r="O405" s="48" t="str">
        <f>IF(OR(C405="", B405=""), "",
  INDEX(RentTable, MATCH(B405, {0,1,2,3,4}, 0), MATCH(C405, {20,30,40,50,60,70,80}, 1))
)</f>
        <v/>
      </c>
      <c r="P405" s="60"/>
      <c r="Q405" s="48" t="str">
        <f t="shared" si="24"/>
        <v/>
      </c>
      <c r="R405" s="60"/>
      <c r="S405" s="60"/>
      <c r="T405" s="48" t="str">
        <f t="shared" si="21"/>
        <v/>
      </c>
      <c r="U405" s="42" t="str" cm="1">
        <f t="array" ref="U405">_xlfn.IFS(OR(Q405="", T405="", Q405=0, "", T405=0), "", AND(T405&lt;=Q405,D405&lt;=Q405), "Y", OR(T405&gt;Q405,D405&gt;Q405), "N")</f>
        <v/>
      </c>
      <c r="V405" s="62"/>
      <c r="W405" s="63"/>
    </row>
    <row r="406" spans="1:23" x14ac:dyDescent="0.25">
      <c r="A406" s="58"/>
      <c r="B406" s="59"/>
      <c r="C406" s="59"/>
      <c r="D406" s="60"/>
      <c r="E406" s="59"/>
      <c r="F406" s="59"/>
      <c r="G406" s="60"/>
      <c r="H406" s="43" t="str" cm="1">
        <f t="array" ref="H406">IF(OR(F406="", G406=""), "",
  _xlfn.LET(
    _xlpm.rowIndex, MATCH(F406, INDEX(IncomeTable,,1), 0),
    _xlpm.thresholds, INDEX(IncomeTable, _xlpm.rowIndex, 2):INDEX(IncomeTable, _xlpm.rowIndex, 8),
    _xlpm.labels, {20,30,40,50,60,70,80},
    _xlpm.income, G406,
    IF(_xlpm.income &lt; INDEX(_xlpm.thresholds,1), "Below 20%",
      IF(_xlpm.income &gt; INDEX(_xlpm.thresholds,7), "Above 80%",
        INDEX(_xlpm.labels, _xlfn.XLOOKUP(_xlpm.income, _xlpm.thresholds, _xlfn.SEQUENCE(1,7), , -1))
      )
    )
  )
)</f>
        <v/>
      </c>
      <c r="I406" s="42" t="str">
        <f t="shared" si="23"/>
        <v/>
      </c>
      <c r="J406" s="61"/>
      <c r="K406" s="61"/>
      <c r="L406" s="61"/>
      <c r="M406" s="61"/>
      <c r="N406" s="47" t="str">
        <f t="shared" si="22"/>
        <v/>
      </c>
      <c r="O406" s="48" t="str">
        <f>IF(OR(C406="", B406=""), "",
  INDEX(RentTable, MATCH(B406, {0,1,2,3,4}, 0), MATCH(C406, {20,30,40,50,60,70,80}, 1))
)</f>
        <v/>
      </c>
      <c r="P406" s="60"/>
      <c r="Q406" s="48" t="str">
        <f t="shared" si="24"/>
        <v/>
      </c>
      <c r="R406" s="60"/>
      <c r="S406" s="60"/>
      <c r="T406" s="48" t="str">
        <f t="shared" si="21"/>
        <v/>
      </c>
      <c r="U406" s="42" t="str" cm="1">
        <f t="array" ref="U406">_xlfn.IFS(OR(Q406="", T406="", Q406=0, "", T406=0), "", AND(T406&lt;=Q406,D406&lt;=Q406), "Y", OR(T406&gt;Q406,D406&gt;Q406), "N")</f>
        <v/>
      </c>
      <c r="V406" s="62"/>
      <c r="W406" s="63"/>
    </row>
    <row r="407" spans="1:23" x14ac:dyDescent="0.25">
      <c r="A407" s="58"/>
      <c r="B407" s="59"/>
      <c r="C407" s="59"/>
      <c r="D407" s="60"/>
      <c r="E407" s="59"/>
      <c r="F407" s="59"/>
      <c r="G407" s="60"/>
      <c r="H407" s="43" t="str" cm="1">
        <f t="array" ref="H407">IF(OR(F407="", G407=""), "",
  _xlfn.LET(
    _xlpm.rowIndex, MATCH(F407, INDEX(IncomeTable,,1), 0),
    _xlpm.thresholds, INDEX(IncomeTable, _xlpm.rowIndex, 2):INDEX(IncomeTable, _xlpm.rowIndex, 8),
    _xlpm.labels, {20,30,40,50,60,70,80},
    _xlpm.income, G407,
    IF(_xlpm.income &lt; INDEX(_xlpm.thresholds,1), "Below 20%",
      IF(_xlpm.income &gt; INDEX(_xlpm.thresholds,7), "Above 80%",
        INDEX(_xlpm.labels, _xlfn.XLOOKUP(_xlpm.income, _xlpm.thresholds, _xlfn.SEQUENCE(1,7), , -1))
      )
    )
  )
)</f>
        <v/>
      </c>
      <c r="I407" s="42" t="str">
        <f t="shared" si="23"/>
        <v/>
      </c>
      <c r="J407" s="61"/>
      <c r="K407" s="61"/>
      <c r="L407" s="61"/>
      <c r="M407" s="61"/>
      <c r="N407" s="47" t="str">
        <f t="shared" si="22"/>
        <v/>
      </c>
      <c r="O407" s="48" t="str">
        <f>IF(OR(C407="", B407=""), "",
  INDEX(RentTable, MATCH(B407, {0,1,2,3,4}, 0), MATCH(C407, {20,30,40,50,60,70,80}, 1))
)</f>
        <v/>
      </c>
      <c r="P407" s="60"/>
      <c r="Q407" s="48" t="str">
        <f t="shared" si="24"/>
        <v/>
      </c>
      <c r="R407" s="60"/>
      <c r="S407" s="60"/>
      <c r="T407" s="48" t="str">
        <f t="shared" ref="T407:T470" si="25">IF(OR(R407=""), "", R407 + S407)</f>
        <v/>
      </c>
      <c r="U407" s="42" t="str" cm="1">
        <f t="array" ref="U407">_xlfn.IFS(OR(Q407="", T407="", Q407=0, "", T407=0), "", AND(T407&lt;=Q407,D407&lt;=Q407), "Y", OR(T407&gt;Q407,D407&gt;Q407), "N")</f>
        <v/>
      </c>
      <c r="V407" s="62"/>
      <c r="W407" s="63"/>
    </row>
    <row r="408" spans="1:23" x14ac:dyDescent="0.25">
      <c r="A408" s="58"/>
      <c r="B408" s="59"/>
      <c r="C408" s="59"/>
      <c r="D408" s="60"/>
      <c r="E408" s="59"/>
      <c r="F408" s="59"/>
      <c r="G408" s="60"/>
      <c r="H408" s="43" t="str" cm="1">
        <f t="array" ref="H408">IF(OR(F408="", G408=""), "",
  _xlfn.LET(
    _xlpm.rowIndex, MATCH(F408, INDEX(IncomeTable,,1), 0),
    _xlpm.thresholds, INDEX(IncomeTable, _xlpm.rowIndex, 2):INDEX(IncomeTable, _xlpm.rowIndex, 8),
    _xlpm.labels, {20,30,40,50,60,70,80},
    _xlpm.income, G408,
    IF(_xlpm.income &lt; INDEX(_xlpm.thresholds,1), "Below 20%",
      IF(_xlpm.income &gt; INDEX(_xlpm.thresholds,7), "Above 80%",
        INDEX(_xlpm.labels, _xlfn.XLOOKUP(_xlpm.income, _xlpm.thresholds, _xlfn.SEQUENCE(1,7), , -1))
      )
    )
  )
)</f>
        <v/>
      </c>
      <c r="I408" s="42" t="str">
        <f t="shared" si="23"/>
        <v/>
      </c>
      <c r="J408" s="61"/>
      <c r="K408" s="61"/>
      <c r="L408" s="61"/>
      <c r="M408" s="61"/>
      <c r="N408" s="47" t="str">
        <f t="shared" ref="N408:N471" si="26">IF(OR(L408="", M408="", J408=""),"",
   IF(L408="Y",
   IF(M408&lt;J408, "Y", "N"),
   IF(M408&lt;=DATE(YEAR(J408),3,31), "Y", "N")
))</f>
        <v/>
      </c>
      <c r="O408" s="48" t="str">
        <f>IF(OR(C408="", B408=""), "",
  INDEX(RentTable, MATCH(B408, {0,1,2,3,4}, 0), MATCH(C408, {20,30,40,50,60,70,80}, 1))
)</f>
        <v/>
      </c>
      <c r="P408" s="60"/>
      <c r="Q408" s="48" t="str">
        <f t="shared" si="24"/>
        <v/>
      </c>
      <c r="R408" s="60"/>
      <c r="S408" s="60"/>
      <c r="T408" s="48" t="str">
        <f t="shared" si="25"/>
        <v/>
      </c>
      <c r="U408" s="42" t="str" cm="1">
        <f t="array" ref="U408">_xlfn.IFS(OR(Q408="", T408="", Q408=0, "", T408=0), "", AND(T408&lt;=Q408,D408&lt;=Q408), "Y", OR(T408&gt;Q408,D408&gt;Q408), "N")</f>
        <v/>
      </c>
      <c r="V408" s="62"/>
      <c r="W408" s="63"/>
    </row>
    <row r="409" spans="1:23" x14ac:dyDescent="0.25">
      <c r="A409" s="58"/>
      <c r="B409" s="59"/>
      <c r="C409" s="59"/>
      <c r="D409" s="60"/>
      <c r="E409" s="59"/>
      <c r="F409" s="59"/>
      <c r="G409" s="60"/>
      <c r="H409" s="43" t="str" cm="1">
        <f t="array" ref="H409">IF(OR(F409="", G409=""), "",
  _xlfn.LET(
    _xlpm.rowIndex, MATCH(F409, INDEX(IncomeTable,,1), 0),
    _xlpm.thresholds, INDEX(IncomeTable, _xlpm.rowIndex, 2):INDEX(IncomeTable, _xlpm.rowIndex, 8),
    _xlpm.labels, {20,30,40,50,60,70,80},
    _xlpm.income, G409,
    IF(_xlpm.income &lt; INDEX(_xlpm.thresholds,1), "Below 20%",
      IF(_xlpm.income &gt; INDEX(_xlpm.thresholds,7), "Above 80%",
        INDEX(_xlpm.labels, _xlfn.XLOOKUP(_xlpm.income, _xlpm.thresholds, _xlfn.SEQUENCE(1,7), , -1))
      )
    )
  )
)</f>
        <v/>
      </c>
      <c r="I409" s="42" t="str">
        <f t="shared" si="23"/>
        <v/>
      </c>
      <c r="J409" s="61"/>
      <c r="K409" s="61"/>
      <c r="L409" s="61"/>
      <c r="M409" s="61"/>
      <c r="N409" s="47" t="str">
        <f t="shared" si="26"/>
        <v/>
      </c>
      <c r="O409" s="48" t="str">
        <f>IF(OR(C409="", B409=""), "",
  INDEX(RentTable, MATCH(B409, {0,1,2,3,4}, 0), MATCH(C409, {20,30,40,50,60,70,80}, 1))
)</f>
        <v/>
      </c>
      <c r="P409" s="60"/>
      <c r="Q409" s="48" t="str">
        <f t="shared" si="24"/>
        <v/>
      </c>
      <c r="R409" s="60"/>
      <c r="S409" s="60"/>
      <c r="T409" s="48" t="str">
        <f t="shared" si="25"/>
        <v/>
      </c>
      <c r="U409" s="42" t="str" cm="1">
        <f t="array" ref="U409">_xlfn.IFS(OR(Q409="", T409="", Q409=0, "", T409=0), "", AND(T409&lt;=Q409,D409&lt;=Q409), "Y", OR(T409&gt;Q409,D409&gt;Q409), "N")</f>
        <v/>
      </c>
      <c r="V409" s="62"/>
      <c r="W409" s="63"/>
    </row>
    <row r="410" spans="1:23" x14ac:dyDescent="0.25">
      <c r="A410" s="58"/>
      <c r="B410" s="59"/>
      <c r="C410" s="59"/>
      <c r="D410" s="60"/>
      <c r="E410" s="59"/>
      <c r="F410" s="59"/>
      <c r="G410" s="60"/>
      <c r="H410" s="43" t="str" cm="1">
        <f t="array" ref="H410">IF(OR(F410="", G410=""), "",
  _xlfn.LET(
    _xlpm.rowIndex, MATCH(F410, INDEX(IncomeTable,,1), 0),
    _xlpm.thresholds, INDEX(IncomeTable, _xlpm.rowIndex, 2):INDEX(IncomeTable, _xlpm.rowIndex, 8),
    _xlpm.labels, {20,30,40,50,60,70,80},
    _xlpm.income, G410,
    IF(_xlpm.income &lt; INDEX(_xlpm.thresholds,1), "Below 20%",
      IF(_xlpm.income &gt; INDEX(_xlpm.thresholds,7), "Above 80%",
        INDEX(_xlpm.labels, _xlfn.XLOOKUP(_xlpm.income, _xlpm.thresholds, _xlfn.SEQUENCE(1,7), , -1))
      )
    )
  )
)</f>
        <v/>
      </c>
      <c r="I410" s="42" t="str">
        <f t="shared" ref="I410:I473" si="27">IF(AND(ISNUMBER(C410), ISNUMBER(H410)), IF(C410=H410, "Y", "N"), "")</f>
        <v/>
      </c>
      <c r="J410" s="61"/>
      <c r="K410" s="61"/>
      <c r="L410" s="61"/>
      <c r="M410" s="61"/>
      <c r="N410" s="47" t="str">
        <f t="shared" si="26"/>
        <v/>
      </c>
      <c r="O410" s="48" t="str">
        <f>IF(OR(C410="", B410=""), "",
  INDEX(RentTable, MATCH(B410, {0,1,2,3,4}, 0), MATCH(C410, {20,30,40,50,60,70,80}, 1))
)</f>
        <v/>
      </c>
      <c r="P410" s="60"/>
      <c r="Q410" s="48" t="str">
        <f t="shared" ref="Q410:Q473" si="28">IF(OR(O410="", ISBLANK(O410), O410=0), "", O410 - P410)</f>
        <v/>
      </c>
      <c r="R410" s="60"/>
      <c r="S410" s="60"/>
      <c r="T410" s="48" t="str">
        <f t="shared" si="25"/>
        <v/>
      </c>
      <c r="U410" s="42" t="str" cm="1">
        <f t="array" ref="U410">_xlfn.IFS(OR(Q410="", T410="", Q410=0, "", T410=0), "", AND(T410&lt;=Q410,D410&lt;=Q410), "Y", OR(T410&gt;Q410,D410&gt;Q410), "N")</f>
        <v/>
      </c>
      <c r="V410" s="62"/>
      <c r="W410" s="63"/>
    </row>
    <row r="411" spans="1:23" x14ac:dyDescent="0.25">
      <c r="A411" s="58"/>
      <c r="B411" s="59"/>
      <c r="C411" s="59"/>
      <c r="D411" s="60"/>
      <c r="E411" s="59"/>
      <c r="F411" s="59"/>
      <c r="G411" s="60"/>
      <c r="H411" s="43" t="str" cm="1">
        <f t="array" ref="H411">IF(OR(F411="", G411=""), "",
  _xlfn.LET(
    _xlpm.rowIndex, MATCH(F411, INDEX(IncomeTable,,1), 0),
    _xlpm.thresholds, INDEX(IncomeTable, _xlpm.rowIndex, 2):INDEX(IncomeTable, _xlpm.rowIndex, 8),
    _xlpm.labels, {20,30,40,50,60,70,80},
    _xlpm.income, G411,
    IF(_xlpm.income &lt; INDEX(_xlpm.thresholds,1), "Below 20%",
      IF(_xlpm.income &gt; INDEX(_xlpm.thresholds,7), "Above 80%",
        INDEX(_xlpm.labels, _xlfn.XLOOKUP(_xlpm.income, _xlpm.thresholds, _xlfn.SEQUENCE(1,7), , -1))
      )
    )
  )
)</f>
        <v/>
      </c>
      <c r="I411" s="42" t="str">
        <f t="shared" si="27"/>
        <v/>
      </c>
      <c r="J411" s="61"/>
      <c r="K411" s="61"/>
      <c r="L411" s="61"/>
      <c r="M411" s="61"/>
      <c r="N411" s="47" t="str">
        <f t="shared" si="26"/>
        <v/>
      </c>
      <c r="O411" s="48" t="str">
        <f>IF(OR(C411="", B411=""), "",
  INDEX(RentTable, MATCH(B411, {0,1,2,3,4}, 0), MATCH(C411, {20,30,40,50,60,70,80}, 1))
)</f>
        <v/>
      </c>
      <c r="P411" s="60"/>
      <c r="Q411" s="48" t="str">
        <f t="shared" si="28"/>
        <v/>
      </c>
      <c r="R411" s="60"/>
      <c r="S411" s="60"/>
      <c r="T411" s="48" t="str">
        <f t="shared" si="25"/>
        <v/>
      </c>
      <c r="U411" s="42" t="str" cm="1">
        <f t="array" ref="U411">_xlfn.IFS(OR(Q411="", T411="", Q411=0, "", T411=0), "", AND(T411&lt;=Q411,D411&lt;=Q411), "Y", OR(T411&gt;Q411,D411&gt;Q411), "N")</f>
        <v/>
      </c>
      <c r="V411" s="62"/>
      <c r="W411" s="63"/>
    </row>
    <row r="412" spans="1:23" x14ac:dyDescent="0.25">
      <c r="A412" s="58"/>
      <c r="B412" s="59"/>
      <c r="C412" s="59"/>
      <c r="D412" s="60"/>
      <c r="E412" s="59"/>
      <c r="F412" s="59"/>
      <c r="G412" s="60"/>
      <c r="H412" s="43" t="str" cm="1">
        <f t="array" ref="H412">IF(OR(F412="", G412=""), "",
  _xlfn.LET(
    _xlpm.rowIndex, MATCH(F412, INDEX(IncomeTable,,1), 0),
    _xlpm.thresholds, INDEX(IncomeTable, _xlpm.rowIndex, 2):INDEX(IncomeTable, _xlpm.rowIndex, 8),
    _xlpm.labels, {20,30,40,50,60,70,80},
    _xlpm.income, G412,
    IF(_xlpm.income &lt; INDEX(_xlpm.thresholds,1), "Below 20%",
      IF(_xlpm.income &gt; INDEX(_xlpm.thresholds,7), "Above 80%",
        INDEX(_xlpm.labels, _xlfn.XLOOKUP(_xlpm.income, _xlpm.thresholds, _xlfn.SEQUENCE(1,7), , -1))
      )
    )
  )
)</f>
        <v/>
      </c>
      <c r="I412" s="42" t="str">
        <f t="shared" si="27"/>
        <v/>
      </c>
      <c r="J412" s="61"/>
      <c r="K412" s="61"/>
      <c r="L412" s="61"/>
      <c r="M412" s="61"/>
      <c r="N412" s="47" t="str">
        <f t="shared" si="26"/>
        <v/>
      </c>
      <c r="O412" s="48" t="str">
        <f>IF(OR(C412="", B412=""), "",
  INDEX(RentTable, MATCH(B412, {0,1,2,3,4}, 0), MATCH(C412, {20,30,40,50,60,70,80}, 1))
)</f>
        <v/>
      </c>
      <c r="P412" s="60"/>
      <c r="Q412" s="48" t="str">
        <f t="shared" si="28"/>
        <v/>
      </c>
      <c r="R412" s="60"/>
      <c r="S412" s="60"/>
      <c r="T412" s="48" t="str">
        <f t="shared" si="25"/>
        <v/>
      </c>
      <c r="U412" s="42" t="str" cm="1">
        <f t="array" ref="U412">_xlfn.IFS(OR(Q412="", T412="", Q412=0, "", T412=0), "", AND(T412&lt;=Q412,D412&lt;=Q412), "Y", OR(T412&gt;Q412,D412&gt;Q412), "N")</f>
        <v/>
      </c>
      <c r="V412" s="62"/>
      <c r="W412" s="63"/>
    </row>
    <row r="413" spans="1:23" x14ac:dyDescent="0.25">
      <c r="A413" s="58"/>
      <c r="B413" s="59"/>
      <c r="C413" s="59"/>
      <c r="D413" s="60"/>
      <c r="E413" s="59"/>
      <c r="F413" s="59"/>
      <c r="G413" s="60"/>
      <c r="H413" s="43" t="str" cm="1">
        <f t="array" ref="H413">IF(OR(F413="", G413=""), "",
  _xlfn.LET(
    _xlpm.rowIndex, MATCH(F413, INDEX(IncomeTable,,1), 0),
    _xlpm.thresholds, INDEX(IncomeTable, _xlpm.rowIndex, 2):INDEX(IncomeTable, _xlpm.rowIndex, 8),
    _xlpm.labels, {20,30,40,50,60,70,80},
    _xlpm.income, G413,
    IF(_xlpm.income &lt; INDEX(_xlpm.thresholds,1), "Below 20%",
      IF(_xlpm.income &gt; INDEX(_xlpm.thresholds,7), "Above 80%",
        INDEX(_xlpm.labels, _xlfn.XLOOKUP(_xlpm.income, _xlpm.thresholds, _xlfn.SEQUENCE(1,7), , -1))
      )
    )
  )
)</f>
        <v/>
      </c>
      <c r="I413" s="42" t="str">
        <f t="shared" si="27"/>
        <v/>
      </c>
      <c r="J413" s="61"/>
      <c r="K413" s="61"/>
      <c r="L413" s="61"/>
      <c r="M413" s="61"/>
      <c r="N413" s="47" t="str">
        <f t="shared" si="26"/>
        <v/>
      </c>
      <c r="O413" s="48" t="str">
        <f>IF(OR(C413="", B413=""), "",
  INDEX(RentTable, MATCH(B413, {0,1,2,3,4}, 0), MATCH(C413, {20,30,40,50,60,70,80}, 1))
)</f>
        <v/>
      </c>
      <c r="P413" s="60"/>
      <c r="Q413" s="48" t="str">
        <f t="shared" si="28"/>
        <v/>
      </c>
      <c r="R413" s="60"/>
      <c r="S413" s="60"/>
      <c r="T413" s="48" t="str">
        <f t="shared" si="25"/>
        <v/>
      </c>
      <c r="U413" s="42" t="str" cm="1">
        <f t="array" ref="U413">_xlfn.IFS(OR(Q413="", T413="", Q413=0, "", T413=0), "", AND(T413&lt;=Q413,D413&lt;=Q413), "Y", OR(T413&gt;Q413,D413&gt;Q413), "N")</f>
        <v/>
      </c>
      <c r="V413" s="62"/>
      <c r="W413" s="63"/>
    </row>
    <row r="414" spans="1:23" x14ac:dyDescent="0.25">
      <c r="A414" s="58"/>
      <c r="B414" s="59"/>
      <c r="C414" s="59"/>
      <c r="D414" s="60"/>
      <c r="E414" s="59"/>
      <c r="F414" s="59"/>
      <c r="G414" s="60"/>
      <c r="H414" s="43" t="str" cm="1">
        <f t="array" ref="H414">IF(OR(F414="", G414=""), "",
  _xlfn.LET(
    _xlpm.rowIndex, MATCH(F414, INDEX(IncomeTable,,1), 0),
    _xlpm.thresholds, INDEX(IncomeTable, _xlpm.rowIndex, 2):INDEX(IncomeTable, _xlpm.rowIndex, 8),
    _xlpm.labels, {20,30,40,50,60,70,80},
    _xlpm.income, G414,
    IF(_xlpm.income &lt; INDEX(_xlpm.thresholds,1), "Below 20%",
      IF(_xlpm.income &gt; INDEX(_xlpm.thresholds,7), "Above 80%",
        INDEX(_xlpm.labels, _xlfn.XLOOKUP(_xlpm.income, _xlpm.thresholds, _xlfn.SEQUENCE(1,7), , -1))
      )
    )
  )
)</f>
        <v/>
      </c>
      <c r="I414" s="42" t="str">
        <f t="shared" si="27"/>
        <v/>
      </c>
      <c r="J414" s="61"/>
      <c r="K414" s="61"/>
      <c r="L414" s="61"/>
      <c r="M414" s="61"/>
      <c r="N414" s="47" t="str">
        <f t="shared" si="26"/>
        <v/>
      </c>
      <c r="O414" s="48" t="str">
        <f>IF(OR(C414="", B414=""), "",
  INDEX(RentTable, MATCH(B414, {0,1,2,3,4}, 0), MATCH(C414, {20,30,40,50,60,70,80}, 1))
)</f>
        <v/>
      </c>
      <c r="P414" s="60"/>
      <c r="Q414" s="48" t="str">
        <f t="shared" si="28"/>
        <v/>
      </c>
      <c r="R414" s="60"/>
      <c r="S414" s="60"/>
      <c r="T414" s="48" t="str">
        <f t="shared" si="25"/>
        <v/>
      </c>
      <c r="U414" s="42" t="str" cm="1">
        <f t="array" ref="U414">_xlfn.IFS(OR(Q414="", T414="", Q414=0, "", T414=0), "", AND(T414&lt;=Q414,D414&lt;=Q414), "Y", OR(T414&gt;Q414,D414&gt;Q414), "N")</f>
        <v/>
      </c>
      <c r="V414" s="62"/>
      <c r="W414" s="63"/>
    </row>
    <row r="415" spans="1:23" x14ac:dyDescent="0.25">
      <c r="A415" s="58"/>
      <c r="B415" s="59"/>
      <c r="C415" s="59"/>
      <c r="D415" s="60"/>
      <c r="E415" s="59"/>
      <c r="F415" s="59"/>
      <c r="G415" s="60"/>
      <c r="H415" s="43" t="str" cm="1">
        <f t="array" ref="H415">IF(OR(F415="", G415=""), "",
  _xlfn.LET(
    _xlpm.rowIndex, MATCH(F415, INDEX(IncomeTable,,1), 0),
    _xlpm.thresholds, INDEX(IncomeTable, _xlpm.rowIndex, 2):INDEX(IncomeTable, _xlpm.rowIndex, 8),
    _xlpm.labels, {20,30,40,50,60,70,80},
    _xlpm.income, G415,
    IF(_xlpm.income &lt; INDEX(_xlpm.thresholds,1), "Below 20%",
      IF(_xlpm.income &gt; INDEX(_xlpm.thresholds,7), "Above 80%",
        INDEX(_xlpm.labels, _xlfn.XLOOKUP(_xlpm.income, _xlpm.thresholds, _xlfn.SEQUENCE(1,7), , -1))
      )
    )
  )
)</f>
        <v/>
      </c>
      <c r="I415" s="42" t="str">
        <f t="shared" si="27"/>
        <v/>
      </c>
      <c r="J415" s="61"/>
      <c r="K415" s="61"/>
      <c r="L415" s="61"/>
      <c r="M415" s="61"/>
      <c r="N415" s="47" t="str">
        <f t="shared" si="26"/>
        <v/>
      </c>
      <c r="O415" s="48" t="str">
        <f>IF(OR(C415="", B415=""), "",
  INDEX(RentTable, MATCH(B415, {0,1,2,3,4}, 0), MATCH(C415, {20,30,40,50,60,70,80}, 1))
)</f>
        <v/>
      </c>
      <c r="P415" s="60"/>
      <c r="Q415" s="48" t="str">
        <f t="shared" si="28"/>
        <v/>
      </c>
      <c r="R415" s="60"/>
      <c r="S415" s="60"/>
      <c r="T415" s="48" t="str">
        <f t="shared" si="25"/>
        <v/>
      </c>
      <c r="U415" s="42" t="str" cm="1">
        <f t="array" ref="U415">_xlfn.IFS(OR(Q415="", T415="", Q415=0, "", T415=0), "", AND(T415&lt;=Q415,D415&lt;=Q415), "Y", OR(T415&gt;Q415,D415&gt;Q415), "N")</f>
        <v/>
      </c>
      <c r="V415" s="62"/>
      <c r="W415" s="63"/>
    </row>
    <row r="416" spans="1:23" x14ac:dyDescent="0.25">
      <c r="A416" s="58"/>
      <c r="B416" s="59"/>
      <c r="C416" s="59"/>
      <c r="D416" s="60"/>
      <c r="E416" s="59"/>
      <c r="F416" s="59"/>
      <c r="G416" s="60"/>
      <c r="H416" s="43" t="str" cm="1">
        <f t="array" ref="H416">IF(OR(F416="", G416=""), "",
  _xlfn.LET(
    _xlpm.rowIndex, MATCH(F416, INDEX(IncomeTable,,1), 0),
    _xlpm.thresholds, INDEX(IncomeTable, _xlpm.rowIndex, 2):INDEX(IncomeTable, _xlpm.rowIndex, 8),
    _xlpm.labels, {20,30,40,50,60,70,80},
    _xlpm.income, G416,
    IF(_xlpm.income &lt; INDEX(_xlpm.thresholds,1), "Below 20%",
      IF(_xlpm.income &gt; INDEX(_xlpm.thresholds,7), "Above 80%",
        INDEX(_xlpm.labels, _xlfn.XLOOKUP(_xlpm.income, _xlpm.thresholds, _xlfn.SEQUENCE(1,7), , -1))
      )
    )
  )
)</f>
        <v/>
      </c>
      <c r="I416" s="42" t="str">
        <f t="shared" si="27"/>
        <v/>
      </c>
      <c r="J416" s="61"/>
      <c r="K416" s="61"/>
      <c r="L416" s="61"/>
      <c r="M416" s="61"/>
      <c r="N416" s="47" t="str">
        <f t="shared" si="26"/>
        <v/>
      </c>
      <c r="O416" s="48" t="str">
        <f>IF(OR(C416="", B416=""), "",
  INDEX(RentTable, MATCH(B416, {0,1,2,3,4}, 0), MATCH(C416, {20,30,40,50,60,70,80}, 1))
)</f>
        <v/>
      </c>
      <c r="P416" s="60"/>
      <c r="Q416" s="48" t="str">
        <f t="shared" si="28"/>
        <v/>
      </c>
      <c r="R416" s="60"/>
      <c r="S416" s="60"/>
      <c r="T416" s="48" t="str">
        <f t="shared" si="25"/>
        <v/>
      </c>
      <c r="U416" s="42" t="str" cm="1">
        <f t="array" ref="U416">_xlfn.IFS(OR(Q416="", T416="", Q416=0, "", T416=0), "", AND(T416&lt;=Q416,D416&lt;=Q416), "Y", OR(T416&gt;Q416,D416&gt;Q416), "N")</f>
        <v/>
      </c>
      <c r="V416" s="62"/>
      <c r="W416" s="63"/>
    </row>
    <row r="417" spans="1:23" x14ac:dyDescent="0.25">
      <c r="A417" s="58"/>
      <c r="B417" s="59"/>
      <c r="C417" s="59"/>
      <c r="D417" s="60"/>
      <c r="E417" s="59"/>
      <c r="F417" s="59"/>
      <c r="G417" s="60"/>
      <c r="H417" s="43" t="str" cm="1">
        <f t="array" ref="H417">IF(OR(F417="", G417=""), "",
  _xlfn.LET(
    _xlpm.rowIndex, MATCH(F417, INDEX(IncomeTable,,1), 0),
    _xlpm.thresholds, INDEX(IncomeTable, _xlpm.rowIndex, 2):INDEX(IncomeTable, _xlpm.rowIndex, 8),
    _xlpm.labels, {20,30,40,50,60,70,80},
    _xlpm.income, G417,
    IF(_xlpm.income &lt; INDEX(_xlpm.thresholds,1), "Below 20%",
      IF(_xlpm.income &gt; INDEX(_xlpm.thresholds,7), "Above 80%",
        INDEX(_xlpm.labels, _xlfn.XLOOKUP(_xlpm.income, _xlpm.thresholds, _xlfn.SEQUENCE(1,7), , -1))
      )
    )
  )
)</f>
        <v/>
      </c>
      <c r="I417" s="42" t="str">
        <f t="shared" si="27"/>
        <v/>
      </c>
      <c r="J417" s="61"/>
      <c r="K417" s="61"/>
      <c r="L417" s="61"/>
      <c r="M417" s="61"/>
      <c r="N417" s="47" t="str">
        <f t="shared" si="26"/>
        <v/>
      </c>
      <c r="O417" s="48" t="str">
        <f>IF(OR(C417="", B417=""), "",
  INDEX(RentTable, MATCH(B417, {0,1,2,3,4}, 0), MATCH(C417, {20,30,40,50,60,70,80}, 1))
)</f>
        <v/>
      </c>
      <c r="P417" s="60"/>
      <c r="Q417" s="48" t="str">
        <f t="shared" si="28"/>
        <v/>
      </c>
      <c r="R417" s="60"/>
      <c r="S417" s="60"/>
      <c r="T417" s="48" t="str">
        <f t="shared" si="25"/>
        <v/>
      </c>
      <c r="U417" s="42" t="str" cm="1">
        <f t="array" ref="U417">_xlfn.IFS(OR(Q417="", T417="", Q417=0, "", T417=0), "", AND(T417&lt;=Q417,D417&lt;=Q417), "Y", OR(T417&gt;Q417,D417&gt;Q417), "N")</f>
        <v/>
      </c>
      <c r="V417" s="62"/>
      <c r="W417" s="63"/>
    </row>
    <row r="418" spans="1:23" x14ac:dyDescent="0.25">
      <c r="A418" s="58"/>
      <c r="B418" s="59"/>
      <c r="C418" s="59"/>
      <c r="D418" s="60"/>
      <c r="E418" s="59"/>
      <c r="F418" s="59"/>
      <c r="G418" s="60"/>
      <c r="H418" s="43" t="str" cm="1">
        <f t="array" ref="H418">IF(OR(F418="", G418=""), "",
  _xlfn.LET(
    _xlpm.rowIndex, MATCH(F418, INDEX(IncomeTable,,1), 0),
    _xlpm.thresholds, INDEX(IncomeTable, _xlpm.rowIndex, 2):INDEX(IncomeTable, _xlpm.rowIndex, 8),
    _xlpm.labels, {20,30,40,50,60,70,80},
    _xlpm.income, G418,
    IF(_xlpm.income &lt; INDEX(_xlpm.thresholds,1), "Below 20%",
      IF(_xlpm.income &gt; INDEX(_xlpm.thresholds,7), "Above 80%",
        INDEX(_xlpm.labels, _xlfn.XLOOKUP(_xlpm.income, _xlpm.thresholds, _xlfn.SEQUENCE(1,7), , -1))
      )
    )
  )
)</f>
        <v/>
      </c>
      <c r="I418" s="42" t="str">
        <f t="shared" si="27"/>
        <v/>
      </c>
      <c r="J418" s="61"/>
      <c r="K418" s="61"/>
      <c r="L418" s="61"/>
      <c r="M418" s="61"/>
      <c r="N418" s="47" t="str">
        <f t="shared" si="26"/>
        <v/>
      </c>
      <c r="O418" s="48" t="str">
        <f>IF(OR(C418="", B418=""), "",
  INDEX(RentTable, MATCH(B418, {0,1,2,3,4}, 0), MATCH(C418, {20,30,40,50,60,70,80}, 1))
)</f>
        <v/>
      </c>
      <c r="P418" s="60"/>
      <c r="Q418" s="48" t="str">
        <f t="shared" si="28"/>
        <v/>
      </c>
      <c r="R418" s="60"/>
      <c r="S418" s="60"/>
      <c r="T418" s="48" t="str">
        <f t="shared" si="25"/>
        <v/>
      </c>
      <c r="U418" s="42" t="str" cm="1">
        <f t="array" ref="U418">_xlfn.IFS(OR(Q418="", T418="", Q418=0, "", T418=0), "", AND(T418&lt;=Q418,D418&lt;=Q418), "Y", OR(T418&gt;Q418,D418&gt;Q418), "N")</f>
        <v/>
      </c>
      <c r="V418" s="62"/>
      <c r="W418" s="63"/>
    </row>
    <row r="419" spans="1:23" x14ac:dyDescent="0.25">
      <c r="A419" s="58"/>
      <c r="B419" s="59"/>
      <c r="C419" s="59"/>
      <c r="D419" s="60"/>
      <c r="E419" s="59"/>
      <c r="F419" s="59"/>
      <c r="G419" s="60"/>
      <c r="H419" s="43" t="str" cm="1">
        <f t="array" ref="H419">IF(OR(F419="", G419=""), "",
  _xlfn.LET(
    _xlpm.rowIndex, MATCH(F419, INDEX(IncomeTable,,1), 0),
    _xlpm.thresholds, INDEX(IncomeTable, _xlpm.rowIndex, 2):INDEX(IncomeTable, _xlpm.rowIndex, 8),
    _xlpm.labels, {20,30,40,50,60,70,80},
    _xlpm.income, G419,
    IF(_xlpm.income &lt; INDEX(_xlpm.thresholds,1), "Below 20%",
      IF(_xlpm.income &gt; INDEX(_xlpm.thresholds,7), "Above 80%",
        INDEX(_xlpm.labels, _xlfn.XLOOKUP(_xlpm.income, _xlpm.thresholds, _xlfn.SEQUENCE(1,7), , -1))
      )
    )
  )
)</f>
        <v/>
      </c>
      <c r="I419" s="42" t="str">
        <f t="shared" si="27"/>
        <v/>
      </c>
      <c r="J419" s="61"/>
      <c r="K419" s="61"/>
      <c r="L419" s="61"/>
      <c r="M419" s="61"/>
      <c r="N419" s="47" t="str">
        <f t="shared" si="26"/>
        <v/>
      </c>
      <c r="O419" s="48" t="str">
        <f>IF(OR(C419="", B419=""), "",
  INDEX(RentTable, MATCH(B419, {0,1,2,3,4}, 0), MATCH(C419, {20,30,40,50,60,70,80}, 1))
)</f>
        <v/>
      </c>
      <c r="P419" s="60"/>
      <c r="Q419" s="48" t="str">
        <f t="shared" si="28"/>
        <v/>
      </c>
      <c r="R419" s="60"/>
      <c r="S419" s="60"/>
      <c r="T419" s="48" t="str">
        <f t="shared" si="25"/>
        <v/>
      </c>
      <c r="U419" s="42" t="str" cm="1">
        <f t="array" ref="U419">_xlfn.IFS(OR(Q419="", T419="", Q419=0, "", T419=0), "", AND(T419&lt;=Q419,D419&lt;=Q419), "Y", OR(T419&gt;Q419,D419&gt;Q419), "N")</f>
        <v/>
      </c>
      <c r="V419" s="62"/>
      <c r="W419" s="63"/>
    </row>
    <row r="420" spans="1:23" x14ac:dyDescent="0.25">
      <c r="A420" s="58"/>
      <c r="B420" s="59"/>
      <c r="C420" s="59"/>
      <c r="D420" s="60"/>
      <c r="E420" s="59"/>
      <c r="F420" s="59"/>
      <c r="G420" s="60"/>
      <c r="H420" s="43" t="str" cm="1">
        <f t="array" ref="H420">IF(OR(F420="", G420=""), "",
  _xlfn.LET(
    _xlpm.rowIndex, MATCH(F420, INDEX(IncomeTable,,1), 0),
    _xlpm.thresholds, INDEX(IncomeTable, _xlpm.rowIndex, 2):INDEX(IncomeTable, _xlpm.rowIndex, 8),
    _xlpm.labels, {20,30,40,50,60,70,80},
    _xlpm.income, G420,
    IF(_xlpm.income &lt; INDEX(_xlpm.thresholds,1), "Below 20%",
      IF(_xlpm.income &gt; INDEX(_xlpm.thresholds,7), "Above 80%",
        INDEX(_xlpm.labels, _xlfn.XLOOKUP(_xlpm.income, _xlpm.thresholds, _xlfn.SEQUENCE(1,7), , -1))
      )
    )
  )
)</f>
        <v/>
      </c>
      <c r="I420" s="42" t="str">
        <f t="shared" si="27"/>
        <v/>
      </c>
      <c r="J420" s="61"/>
      <c r="K420" s="61"/>
      <c r="L420" s="61"/>
      <c r="M420" s="61"/>
      <c r="N420" s="47" t="str">
        <f t="shared" si="26"/>
        <v/>
      </c>
      <c r="O420" s="48" t="str">
        <f>IF(OR(C420="", B420=""), "",
  INDEX(RentTable, MATCH(B420, {0,1,2,3,4}, 0), MATCH(C420, {20,30,40,50,60,70,80}, 1))
)</f>
        <v/>
      </c>
      <c r="P420" s="60"/>
      <c r="Q420" s="48" t="str">
        <f t="shared" si="28"/>
        <v/>
      </c>
      <c r="R420" s="60"/>
      <c r="S420" s="60"/>
      <c r="T420" s="48" t="str">
        <f t="shared" si="25"/>
        <v/>
      </c>
      <c r="U420" s="42" t="str" cm="1">
        <f t="array" ref="U420">_xlfn.IFS(OR(Q420="", T420="", Q420=0, "", T420=0), "", AND(T420&lt;=Q420,D420&lt;=Q420), "Y", OR(T420&gt;Q420,D420&gt;Q420), "N")</f>
        <v/>
      </c>
      <c r="V420" s="62"/>
      <c r="W420" s="63"/>
    </row>
    <row r="421" spans="1:23" x14ac:dyDescent="0.25">
      <c r="A421" s="58"/>
      <c r="B421" s="59"/>
      <c r="C421" s="59"/>
      <c r="D421" s="60"/>
      <c r="E421" s="59"/>
      <c r="F421" s="59"/>
      <c r="G421" s="60"/>
      <c r="H421" s="43" t="str" cm="1">
        <f t="array" ref="H421">IF(OR(F421="", G421=""), "",
  _xlfn.LET(
    _xlpm.rowIndex, MATCH(F421, INDEX(IncomeTable,,1), 0),
    _xlpm.thresholds, INDEX(IncomeTable, _xlpm.rowIndex, 2):INDEX(IncomeTable, _xlpm.rowIndex, 8),
    _xlpm.labels, {20,30,40,50,60,70,80},
    _xlpm.income, G421,
    IF(_xlpm.income &lt; INDEX(_xlpm.thresholds,1), "Below 20%",
      IF(_xlpm.income &gt; INDEX(_xlpm.thresholds,7), "Above 80%",
        INDEX(_xlpm.labels, _xlfn.XLOOKUP(_xlpm.income, _xlpm.thresholds, _xlfn.SEQUENCE(1,7), , -1))
      )
    )
  )
)</f>
        <v/>
      </c>
      <c r="I421" s="42" t="str">
        <f t="shared" si="27"/>
        <v/>
      </c>
      <c r="J421" s="61"/>
      <c r="K421" s="61"/>
      <c r="L421" s="61"/>
      <c r="M421" s="61"/>
      <c r="N421" s="47" t="str">
        <f t="shared" si="26"/>
        <v/>
      </c>
      <c r="O421" s="48" t="str">
        <f>IF(OR(C421="", B421=""), "",
  INDEX(RentTable, MATCH(B421, {0,1,2,3,4}, 0), MATCH(C421, {20,30,40,50,60,70,80}, 1))
)</f>
        <v/>
      </c>
      <c r="P421" s="60"/>
      <c r="Q421" s="48" t="str">
        <f t="shared" si="28"/>
        <v/>
      </c>
      <c r="R421" s="60"/>
      <c r="S421" s="60"/>
      <c r="T421" s="48" t="str">
        <f t="shared" si="25"/>
        <v/>
      </c>
      <c r="U421" s="42" t="str" cm="1">
        <f t="array" ref="U421">_xlfn.IFS(OR(Q421="", T421="", Q421=0, "", T421=0), "", AND(T421&lt;=Q421,D421&lt;=Q421), "Y", OR(T421&gt;Q421,D421&gt;Q421), "N")</f>
        <v/>
      </c>
      <c r="V421" s="62"/>
      <c r="W421" s="63"/>
    </row>
    <row r="422" spans="1:23" x14ac:dyDescent="0.25">
      <c r="A422" s="58"/>
      <c r="B422" s="59"/>
      <c r="C422" s="59"/>
      <c r="D422" s="60"/>
      <c r="E422" s="59"/>
      <c r="F422" s="59"/>
      <c r="G422" s="60"/>
      <c r="H422" s="43" t="str" cm="1">
        <f t="array" ref="H422">IF(OR(F422="", G422=""), "",
  _xlfn.LET(
    _xlpm.rowIndex, MATCH(F422, INDEX(IncomeTable,,1), 0),
    _xlpm.thresholds, INDEX(IncomeTable, _xlpm.rowIndex, 2):INDEX(IncomeTable, _xlpm.rowIndex, 8),
    _xlpm.labels, {20,30,40,50,60,70,80},
    _xlpm.income, G422,
    IF(_xlpm.income &lt; INDEX(_xlpm.thresholds,1), "Below 20%",
      IF(_xlpm.income &gt; INDEX(_xlpm.thresholds,7), "Above 80%",
        INDEX(_xlpm.labels, _xlfn.XLOOKUP(_xlpm.income, _xlpm.thresholds, _xlfn.SEQUENCE(1,7), , -1))
      )
    )
  )
)</f>
        <v/>
      </c>
      <c r="I422" s="42" t="str">
        <f t="shared" si="27"/>
        <v/>
      </c>
      <c r="J422" s="61"/>
      <c r="K422" s="61"/>
      <c r="L422" s="61"/>
      <c r="M422" s="61"/>
      <c r="N422" s="47" t="str">
        <f t="shared" si="26"/>
        <v/>
      </c>
      <c r="O422" s="48" t="str">
        <f>IF(OR(C422="", B422=""), "",
  INDEX(RentTable, MATCH(B422, {0,1,2,3,4}, 0), MATCH(C422, {20,30,40,50,60,70,80}, 1))
)</f>
        <v/>
      </c>
      <c r="P422" s="60"/>
      <c r="Q422" s="48" t="str">
        <f t="shared" si="28"/>
        <v/>
      </c>
      <c r="R422" s="60"/>
      <c r="S422" s="60"/>
      <c r="T422" s="48" t="str">
        <f t="shared" si="25"/>
        <v/>
      </c>
      <c r="U422" s="42" t="str" cm="1">
        <f t="array" ref="U422">_xlfn.IFS(OR(Q422="", T422="", Q422=0, "", T422=0), "", AND(T422&lt;=Q422,D422&lt;=Q422), "Y", OR(T422&gt;Q422,D422&gt;Q422), "N")</f>
        <v/>
      </c>
      <c r="V422" s="62"/>
      <c r="W422" s="63"/>
    </row>
    <row r="423" spans="1:23" x14ac:dyDescent="0.25">
      <c r="A423" s="58"/>
      <c r="B423" s="59"/>
      <c r="C423" s="59"/>
      <c r="D423" s="60"/>
      <c r="E423" s="59"/>
      <c r="F423" s="59"/>
      <c r="G423" s="60"/>
      <c r="H423" s="43" t="str" cm="1">
        <f t="array" ref="H423">IF(OR(F423="", G423=""), "",
  _xlfn.LET(
    _xlpm.rowIndex, MATCH(F423, INDEX(IncomeTable,,1), 0),
    _xlpm.thresholds, INDEX(IncomeTable, _xlpm.rowIndex, 2):INDEX(IncomeTable, _xlpm.rowIndex, 8),
    _xlpm.labels, {20,30,40,50,60,70,80},
    _xlpm.income, G423,
    IF(_xlpm.income &lt; INDEX(_xlpm.thresholds,1), "Below 20%",
      IF(_xlpm.income &gt; INDEX(_xlpm.thresholds,7), "Above 80%",
        INDEX(_xlpm.labels, _xlfn.XLOOKUP(_xlpm.income, _xlpm.thresholds, _xlfn.SEQUENCE(1,7), , -1))
      )
    )
  )
)</f>
        <v/>
      </c>
      <c r="I423" s="42" t="str">
        <f t="shared" si="27"/>
        <v/>
      </c>
      <c r="J423" s="61"/>
      <c r="K423" s="61"/>
      <c r="L423" s="61"/>
      <c r="M423" s="61"/>
      <c r="N423" s="47" t="str">
        <f t="shared" si="26"/>
        <v/>
      </c>
      <c r="O423" s="48" t="str">
        <f>IF(OR(C423="", B423=""), "",
  INDEX(RentTable, MATCH(B423, {0,1,2,3,4}, 0), MATCH(C423, {20,30,40,50,60,70,80}, 1))
)</f>
        <v/>
      </c>
      <c r="P423" s="60"/>
      <c r="Q423" s="48" t="str">
        <f t="shared" si="28"/>
        <v/>
      </c>
      <c r="R423" s="60"/>
      <c r="S423" s="60"/>
      <c r="T423" s="48" t="str">
        <f t="shared" si="25"/>
        <v/>
      </c>
      <c r="U423" s="42" t="str" cm="1">
        <f t="array" ref="U423">_xlfn.IFS(OR(Q423="", T423="", Q423=0, "", T423=0), "", AND(T423&lt;=Q423,D423&lt;=Q423), "Y", OR(T423&gt;Q423,D423&gt;Q423), "N")</f>
        <v/>
      </c>
      <c r="V423" s="62"/>
      <c r="W423" s="63"/>
    </row>
    <row r="424" spans="1:23" x14ac:dyDescent="0.25">
      <c r="A424" s="58"/>
      <c r="B424" s="59"/>
      <c r="C424" s="59"/>
      <c r="D424" s="60"/>
      <c r="E424" s="59"/>
      <c r="F424" s="59"/>
      <c r="G424" s="60"/>
      <c r="H424" s="43" t="str" cm="1">
        <f t="array" ref="H424">IF(OR(F424="", G424=""), "",
  _xlfn.LET(
    _xlpm.rowIndex, MATCH(F424, INDEX(IncomeTable,,1), 0),
    _xlpm.thresholds, INDEX(IncomeTable, _xlpm.rowIndex, 2):INDEX(IncomeTable, _xlpm.rowIndex, 8),
    _xlpm.labels, {20,30,40,50,60,70,80},
    _xlpm.income, G424,
    IF(_xlpm.income &lt; INDEX(_xlpm.thresholds,1), "Below 20%",
      IF(_xlpm.income &gt; INDEX(_xlpm.thresholds,7), "Above 80%",
        INDEX(_xlpm.labels, _xlfn.XLOOKUP(_xlpm.income, _xlpm.thresholds, _xlfn.SEQUENCE(1,7), , -1))
      )
    )
  )
)</f>
        <v/>
      </c>
      <c r="I424" s="42" t="str">
        <f t="shared" si="27"/>
        <v/>
      </c>
      <c r="J424" s="61"/>
      <c r="K424" s="61"/>
      <c r="L424" s="61"/>
      <c r="M424" s="61"/>
      <c r="N424" s="47" t="str">
        <f t="shared" si="26"/>
        <v/>
      </c>
      <c r="O424" s="48" t="str">
        <f>IF(OR(C424="", B424=""), "",
  INDEX(RentTable, MATCH(B424, {0,1,2,3,4}, 0), MATCH(C424, {20,30,40,50,60,70,80}, 1))
)</f>
        <v/>
      </c>
      <c r="P424" s="60"/>
      <c r="Q424" s="48" t="str">
        <f t="shared" si="28"/>
        <v/>
      </c>
      <c r="R424" s="60"/>
      <c r="S424" s="60"/>
      <c r="T424" s="48" t="str">
        <f t="shared" si="25"/>
        <v/>
      </c>
      <c r="U424" s="42" t="str" cm="1">
        <f t="array" ref="U424">_xlfn.IFS(OR(Q424="", T424="", Q424=0, "", T424=0), "", AND(T424&lt;=Q424,D424&lt;=Q424), "Y", OR(T424&gt;Q424,D424&gt;Q424), "N")</f>
        <v/>
      </c>
      <c r="V424" s="62"/>
      <c r="W424" s="63"/>
    </row>
    <row r="425" spans="1:23" x14ac:dyDescent="0.25">
      <c r="A425" s="58"/>
      <c r="B425" s="59"/>
      <c r="C425" s="59"/>
      <c r="D425" s="60"/>
      <c r="E425" s="59"/>
      <c r="F425" s="59"/>
      <c r="G425" s="60"/>
      <c r="H425" s="43" t="str" cm="1">
        <f t="array" ref="H425">IF(OR(F425="", G425=""), "",
  _xlfn.LET(
    _xlpm.rowIndex, MATCH(F425, INDEX(IncomeTable,,1), 0),
    _xlpm.thresholds, INDEX(IncomeTable, _xlpm.rowIndex, 2):INDEX(IncomeTable, _xlpm.rowIndex, 8),
    _xlpm.labels, {20,30,40,50,60,70,80},
    _xlpm.income, G425,
    IF(_xlpm.income &lt; INDEX(_xlpm.thresholds,1), "Below 20%",
      IF(_xlpm.income &gt; INDEX(_xlpm.thresholds,7), "Above 80%",
        INDEX(_xlpm.labels, _xlfn.XLOOKUP(_xlpm.income, _xlpm.thresholds, _xlfn.SEQUENCE(1,7), , -1))
      )
    )
  )
)</f>
        <v/>
      </c>
      <c r="I425" s="42" t="str">
        <f t="shared" si="27"/>
        <v/>
      </c>
      <c r="J425" s="61"/>
      <c r="K425" s="61"/>
      <c r="L425" s="61"/>
      <c r="M425" s="61"/>
      <c r="N425" s="47" t="str">
        <f t="shared" si="26"/>
        <v/>
      </c>
      <c r="O425" s="48" t="str">
        <f>IF(OR(C425="", B425=""), "",
  INDEX(RentTable, MATCH(B425, {0,1,2,3,4}, 0), MATCH(C425, {20,30,40,50,60,70,80}, 1))
)</f>
        <v/>
      </c>
      <c r="P425" s="60"/>
      <c r="Q425" s="48" t="str">
        <f t="shared" si="28"/>
        <v/>
      </c>
      <c r="R425" s="60"/>
      <c r="S425" s="60"/>
      <c r="T425" s="48" t="str">
        <f t="shared" si="25"/>
        <v/>
      </c>
      <c r="U425" s="42" t="str" cm="1">
        <f t="array" ref="U425">_xlfn.IFS(OR(Q425="", T425="", Q425=0, "", T425=0), "", AND(T425&lt;=Q425,D425&lt;=Q425), "Y", OR(T425&gt;Q425,D425&gt;Q425), "N")</f>
        <v/>
      </c>
      <c r="V425" s="62"/>
      <c r="W425" s="63"/>
    </row>
    <row r="426" spans="1:23" x14ac:dyDescent="0.25">
      <c r="A426" s="58"/>
      <c r="B426" s="59"/>
      <c r="C426" s="59"/>
      <c r="D426" s="60"/>
      <c r="E426" s="59"/>
      <c r="F426" s="59"/>
      <c r="G426" s="60"/>
      <c r="H426" s="43" t="str" cm="1">
        <f t="array" ref="H426">IF(OR(F426="", G426=""), "",
  _xlfn.LET(
    _xlpm.rowIndex, MATCH(F426, INDEX(IncomeTable,,1), 0),
    _xlpm.thresholds, INDEX(IncomeTable, _xlpm.rowIndex, 2):INDEX(IncomeTable, _xlpm.rowIndex, 8),
    _xlpm.labels, {20,30,40,50,60,70,80},
    _xlpm.income, G426,
    IF(_xlpm.income &lt; INDEX(_xlpm.thresholds,1), "Below 20%",
      IF(_xlpm.income &gt; INDEX(_xlpm.thresholds,7), "Above 80%",
        INDEX(_xlpm.labels, _xlfn.XLOOKUP(_xlpm.income, _xlpm.thresholds, _xlfn.SEQUENCE(1,7), , -1))
      )
    )
  )
)</f>
        <v/>
      </c>
      <c r="I426" s="42" t="str">
        <f t="shared" si="27"/>
        <v/>
      </c>
      <c r="J426" s="61"/>
      <c r="K426" s="61"/>
      <c r="L426" s="61"/>
      <c r="M426" s="61"/>
      <c r="N426" s="47" t="str">
        <f t="shared" si="26"/>
        <v/>
      </c>
      <c r="O426" s="48" t="str">
        <f>IF(OR(C426="", B426=""), "",
  INDEX(RentTable, MATCH(B426, {0,1,2,3,4}, 0), MATCH(C426, {20,30,40,50,60,70,80}, 1))
)</f>
        <v/>
      </c>
      <c r="P426" s="60"/>
      <c r="Q426" s="48" t="str">
        <f t="shared" si="28"/>
        <v/>
      </c>
      <c r="R426" s="60"/>
      <c r="S426" s="60"/>
      <c r="T426" s="48" t="str">
        <f t="shared" si="25"/>
        <v/>
      </c>
      <c r="U426" s="42" t="str" cm="1">
        <f t="array" ref="U426">_xlfn.IFS(OR(Q426="", T426="", Q426=0, "", T426=0), "", AND(T426&lt;=Q426,D426&lt;=Q426), "Y", OR(T426&gt;Q426,D426&gt;Q426), "N")</f>
        <v/>
      </c>
      <c r="V426" s="62"/>
      <c r="W426" s="63"/>
    </row>
    <row r="427" spans="1:23" x14ac:dyDescent="0.25">
      <c r="A427" s="58"/>
      <c r="B427" s="59"/>
      <c r="C427" s="59"/>
      <c r="D427" s="60"/>
      <c r="E427" s="59"/>
      <c r="F427" s="59"/>
      <c r="G427" s="60"/>
      <c r="H427" s="43" t="str" cm="1">
        <f t="array" ref="H427">IF(OR(F427="", G427=""), "",
  _xlfn.LET(
    _xlpm.rowIndex, MATCH(F427, INDEX(IncomeTable,,1), 0),
    _xlpm.thresholds, INDEX(IncomeTable, _xlpm.rowIndex, 2):INDEX(IncomeTable, _xlpm.rowIndex, 8),
    _xlpm.labels, {20,30,40,50,60,70,80},
    _xlpm.income, G427,
    IF(_xlpm.income &lt; INDEX(_xlpm.thresholds,1), "Below 20%",
      IF(_xlpm.income &gt; INDEX(_xlpm.thresholds,7), "Above 80%",
        INDEX(_xlpm.labels, _xlfn.XLOOKUP(_xlpm.income, _xlpm.thresholds, _xlfn.SEQUENCE(1,7), , -1))
      )
    )
  )
)</f>
        <v/>
      </c>
      <c r="I427" s="42" t="str">
        <f t="shared" si="27"/>
        <v/>
      </c>
      <c r="J427" s="61"/>
      <c r="K427" s="61"/>
      <c r="L427" s="61"/>
      <c r="M427" s="61"/>
      <c r="N427" s="47" t="str">
        <f t="shared" si="26"/>
        <v/>
      </c>
      <c r="O427" s="48" t="str">
        <f>IF(OR(C427="", B427=""), "",
  INDEX(RentTable, MATCH(B427, {0,1,2,3,4}, 0), MATCH(C427, {20,30,40,50,60,70,80}, 1))
)</f>
        <v/>
      </c>
      <c r="P427" s="60"/>
      <c r="Q427" s="48" t="str">
        <f t="shared" si="28"/>
        <v/>
      </c>
      <c r="R427" s="60"/>
      <c r="S427" s="60"/>
      <c r="T427" s="48" t="str">
        <f t="shared" si="25"/>
        <v/>
      </c>
      <c r="U427" s="42" t="str" cm="1">
        <f t="array" ref="U427">_xlfn.IFS(OR(Q427="", T427="", Q427=0, "", T427=0), "", AND(T427&lt;=Q427,D427&lt;=Q427), "Y", OR(T427&gt;Q427,D427&gt;Q427), "N")</f>
        <v/>
      </c>
      <c r="V427" s="62"/>
      <c r="W427" s="63"/>
    </row>
    <row r="428" spans="1:23" x14ac:dyDescent="0.25">
      <c r="A428" s="58"/>
      <c r="B428" s="59"/>
      <c r="C428" s="59"/>
      <c r="D428" s="60"/>
      <c r="E428" s="59"/>
      <c r="F428" s="59"/>
      <c r="G428" s="60"/>
      <c r="H428" s="43" t="str" cm="1">
        <f t="array" ref="H428">IF(OR(F428="", G428=""), "",
  _xlfn.LET(
    _xlpm.rowIndex, MATCH(F428, INDEX(IncomeTable,,1), 0),
    _xlpm.thresholds, INDEX(IncomeTable, _xlpm.rowIndex, 2):INDEX(IncomeTable, _xlpm.rowIndex, 8),
    _xlpm.labels, {20,30,40,50,60,70,80},
    _xlpm.income, G428,
    IF(_xlpm.income &lt; INDEX(_xlpm.thresholds,1), "Below 20%",
      IF(_xlpm.income &gt; INDEX(_xlpm.thresholds,7), "Above 80%",
        INDEX(_xlpm.labels, _xlfn.XLOOKUP(_xlpm.income, _xlpm.thresholds, _xlfn.SEQUENCE(1,7), , -1))
      )
    )
  )
)</f>
        <v/>
      </c>
      <c r="I428" s="42" t="str">
        <f t="shared" si="27"/>
        <v/>
      </c>
      <c r="J428" s="61"/>
      <c r="K428" s="61"/>
      <c r="L428" s="61"/>
      <c r="M428" s="61"/>
      <c r="N428" s="47" t="str">
        <f t="shared" si="26"/>
        <v/>
      </c>
      <c r="O428" s="48" t="str">
        <f>IF(OR(C428="", B428=""), "",
  INDEX(RentTable, MATCH(B428, {0,1,2,3,4}, 0), MATCH(C428, {20,30,40,50,60,70,80}, 1))
)</f>
        <v/>
      </c>
      <c r="P428" s="60"/>
      <c r="Q428" s="48" t="str">
        <f t="shared" si="28"/>
        <v/>
      </c>
      <c r="R428" s="60"/>
      <c r="S428" s="60"/>
      <c r="T428" s="48" t="str">
        <f t="shared" si="25"/>
        <v/>
      </c>
      <c r="U428" s="42" t="str" cm="1">
        <f t="array" ref="U428">_xlfn.IFS(OR(Q428="", T428="", Q428=0, "", T428=0), "", AND(T428&lt;=Q428,D428&lt;=Q428), "Y", OR(T428&gt;Q428,D428&gt;Q428), "N")</f>
        <v/>
      </c>
      <c r="V428" s="62"/>
      <c r="W428" s="63"/>
    </row>
    <row r="429" spans="1:23" x14ac:dyDescent="0.25">
      <c r="A429" s="58"/>
      <c r="B429" s="59"/>
      <c r="C429" s="59"/>
      <c r="D429" s="60"/>
      <c r="E429" s="59"/>
      <c r="F429" s="59"/>
      <c r="G429" s="60"/>
      <c r="H429" s="43" t="str" cm="1">
        <f t="array" ref="H429">IF(OR(F429="", G429=""), "",
  _xlfn.LET(
    _xlpm.rowIndex, MATCH(F429, INDEX(IncomeTable,,1), 0),
    _xlpm.thresholds, INDEX(IncomeTable, _xlpm.rowIndex, 2):INDEX(IncomeTable, _xlpm.rowIndex, 8),
    _xlpm.labels, {20,30,40,50,60,70,80},
    _xlpm.income, G429,
    IF(_xlpm.income &lt; INDEX(_xlpm.thresholds,1), "Below 20%",
      IF(_xlpm.income &gt; INDEX(_xlpm.thresholds,7), "Above 80%",
        INDEX(_xlpm.labels, _xlfn.XLOOKUP(_xlpm.income, _xlpm.thresholds, _xlfn.SEQUENCE(1,7), , -1))
      )
    )
  )
)</f>
        <v/>
      </c>
      <c r="I429" s="42" t="str">
        <f t="shared" si="27"/>
        <v/>
      </c>
      <c r="J429" s="61"/>
      <c r="K429" s="61"/>
      <c r="L429" s="61"/>
      <c r="M429" s="61"/>
      <c r="N429" s="47" t="str">
        <f t="shared" si="26"/>
        <v/>
      </c>
      <c r="O429" s="48" t="str">
        <f>IF(OR(C429="", B429=""), "",
  INDEX(RentTable, MATCH(B429, {0,1,2,3,4}, 0), MATCH(C429, {20,30,40,50,60,70,80}, 1))
)</f>
        <v/>
      </c>
      <c r="P429" s="60"/>
      <c r="Q429" s="48" t="str">
        <f t="shared" si="28"/>
        <v/>
      </c>
      <c r="R429" s="60"/>
      <c r="S429" s="60"/>
      <c r="T429" s="48" t="str">
        <f t="shared" si="25"/>
        <v/>
      </c>
      <c r="U429" s="42" t="str" cm="1">
        <f t="array" ref="U429">_xlfn.IFS(OR(Q429="", T429="", Q429=0, "", T429=0), "", AND(T429&lt;=Q429,D429&lt;=Q429), "Y", OR(T429&gt;Q429,D429&gt;Q429), "N")</f>
        <v/>
      </c>
      <c r="V429" s="62"/>
      <c r="W429" s="63"/>
    </row>
    <row r="430" spans="1:23" x14ac:dyDescent="0.25">
      <c r="A430" s="58"/>
      <c r="B430" s="59"/>
      <c r="C430" s="59"/>
      <c r="D430" s="60"/>
      <c r="E430" s="59"/>
      <c r="F430" s="59"/>
      <c r="G430" s="60"/>
      <c r="H430" s="43" t="str" cm="1">
        <f t="array" ref="H430">IF(OR(F430="", G430=""), "",
  _xlfn.LET(
    _xlpm.rowIndex, MATCH(F430, INDEX(IncomeTable,,1), 0),
    _xlpm.thresholds, INDEX(IncomeTable, _xlpm.rowIndex, 2):INDEX(IncomeTable, _xlpm.rowIndex, 8),
    _xlpm.labels, {20,30,40,50,60,70,80},
    _xlpm.income, G430,
    IF(_xlpm.income &lt; INDEX(_xlpm.thresholds,1), "Below 20%",
      IF(_xlpm.income &gt; INDEX(_xlpm.thresholds,7), "Above 80%",
        INDEX(_xlpm.labels, _xlfn.XLOOKUP(_xlpm.income, _xlpm.thresholds, _xlfn.SEQUENCE(1,7), , -1))
      )
    )
  )
)</f>
        <v/>
      </c>
      <c r="I430" s="42" t="str">
        <f t="shared" si="27"/>
        <v/>
      </c>
      <c r="J430" s="61"/>
      <c r="K430" s="61"/>
      <c r="L430" s="61"/>
      <c r="M430" s="61"/>
      <c r="N430" s="47" t="str">
        <f t="shared" si="26"/>
        <v/>
      </c>
      <c r="O430" s="48" t="str">
        <f>IF(OR(C430="", B430=""), "",
  INDEX(RentTable, MATCH(B430, {0,1,2,3,4}, 0), MATCH(C430, {20,30,40,50,60,70,80}, 1))
)</f>
        <v/>
      </c>
      <c r="P430" s="60"/>
      <c r="Q430" s="48" t="str">
        <f t="shared" si="28"/>
        <v/>
      </c>
      <c r="R430" s="60"/>
      <c r="S430" s="60"/>
      <c r="T430" s="48" t="str">
        <f t="shared" si="25"/>
        <v/>
      </c>
      <c r="U430" s="42" t="str" cm="1">
        <f t="array" ref="U430">_xlfn.IFS(OR(Q430="", T430="", Q430=0, "", T430=0), "", AND(T430&lt;=Q430,D430&lt;=Q430), "Y", OR(T430&gt;Q430,D430&gt;Q430), "N")</f>
        <v/>
      </c>
      <c r="V430" s="62"/>
      <c r="W430" s="63"/>
    </row>
    <row r="431" spans="1:23" x14ac:dyDescent="0.25">
      <c r="A431" s="58"/>
      <c r="B431" s="59"/>
      <c r="C431" s="59"/>
      <c r="D431" s="60"/>
      <c r="E431" s="59"/>
      <c r="F431" s="59"/>
      <c r="G431" s="60"/>
      <c r="H431" s="43" t="str" cm="1">
        <f t="array" ref="H431">IF(OR(F431="", G431=""), "",
  _xlfn.LET(
    _xlpm.rowIndex, MATCH(F431, INDEX(IncomeTable,,1), 0),
    _xlpm.thresholds, INDEX(IncomeTable, _xlpm.rowIndex, 2):INDEX(IncomeTable, _xlpm.rowIndex, 8),
    _xlpm.labels, {20,30,40,50,60,70,80},
    _xlpm.income, G431,
    IF(_xlpm.income &lt; INDEX(_xlpm.thresholds,1), "Below 20%",
      IF(_xlpm.income &gt; INDEX(_xlpm.thresholds,7), "Above 80%",
        INDEX(_xlpm.labels, _xlfn.XLOOKUP(_xlpm.income, _xlpm.thresholds, _xlfn.SEQUENCE(1,7), , -1))
      )
    )
  )
)</f>
        <v/>
      </c>
      <c r="I431" s="42" t="str">
        <f t="shared" si="27"/>
        <v/>
      </c>
      <c r="J431" s="61"/>
      <c r="K431" s="61"/>
      <c r="L431" s="61"/>
      <c r="M431" s="61"/>
      <c r="N431" s="47" t="str">
        <f t="shared" si="26"/>
        <v/>
      </c>
      <c r="O431" s="48" t="str">
        <f>IF(OR(C431="", B431=""), "",
  INDEX(RentTable, MATCH(B431, {0,1,2,3,4}, 0), MATCH(C431, {20,30,40,50,60,70,80}, 1))
)</f>
        <v/>
      </c>
      <c r="P431" s="60"/>
      <c r="Q431" s="48" t="str">
        <f t="shared" si="28"/>
        <v/>
      </c>
      <c r="R431" s="60"/>
      <c r="S431" s="60"/>
      <c r="T431" s="48" t="str">
        <f t="shared" si="25"/>
        <v/>
      </c>
      <c r="U431" s="42" t="str" cm="1">
        <f t="array" ref="U431">_xlfn.IFS(OR(Q431="", T431="", Q431=0, "", T431=0), "", AND(T431&lt;=Q431,D431&lt;=Q431), "Y", OR(T431&gt;Q431,D431&gt;Q431), "N")</f>
        <v/>
      </c>
      <c r="V431" s="62"/>
      <c r="W431" s="63"/>
    </row>
    <row r="432" spans="1:23" x14ac:dyDescent="0.25">
      <c r="A432" s="58"/>
      <c r="B432" s="59"/>
      <c r="C432" s="59"/>
      <c r="D432" s="60"/>
      <c r="E432" s="59"/>
      <c r="F432" s="59"/>
      <c r="G432" s="60"/>
      <c r="H432" s="43" t="str" cm="1">
        <f t="array" ref="H432">IF(OR(F432="", G432=""), "",
  _xlfn.LET(
    _xlpm.rowIndex, MATCH(F432, INDEX(IncomeTable,,1), 0),
    _xlpm.thresholds, INDEX(IncomeTable, _xlpm.rowIndex, 2):INDEX(IncomeTable, _xlpm.rowIndex, 8),
    _xlpm.labels, {20,30,40,50,60,70,80},
    _xlpm.income, G432,
    IF(_xlpm.income &lt; INDEX(_xlpm.thresholds,1), "Below 20%",
      IF(_xlpm.income &gt; INDEX(_xlpm.thresholds,7), "Above 80%",
        INDEX(_xlpm.labels, _xlfn.XLOOKUP(_xlpm.income, _xlpm.thresholds, _xlfn.SEQUENCE(1,7), , -1))
      )
    )
  )
)</f>
        <v/>
      </c>
      <c r="I432" s="42" t="str">
        <f t="shared" si="27"/>
        <v/>
      </c>
      <c r="J432" s="61"/>
      <c r="K432" s="61"/>
      <c r="L432" s="61"/>
      <c r="M432" s="61"/>
      <c r="N432" s="47" t="str">
        <f t="shared" si="26"/>
        <v/>
      </c>
      <c r="O432" s="48" t="str">
        <f>IF(OR(C432="", B432=""), "",
  INDEX(RentTable, MATCH(B432, {0,1,2,3,4}, 0), MATCH(C432, {20,30,40,50,60,70,80}, 1))
)</f>
        <v/>
      </c>
      <c r="P432" s="60"/>
      <c r="Q432" s="48" t="str">
        <f t="shared" si="28"/>
        <v/>
      </c>
      <c r="R432" s="60"/>
      <c r="S432" s="60"/>
      <c r="T432" s="48" t="str">
        <f t="shared" si="25"/>
        <v/>
      </c>
      <c r="U432" s="42" t="str" cm="1">
        <f t="array" ref="U432">_xlfn.IFS(OR(Q432="", T432="", Q432=0, "", T432=0), "", AND(T432&lt;=Q432,D432&lt;=Q432), "Y", OR(T432&gt;Q432,D432&gt;Q432), "N")</f>
        <v/>
      </c>
      <c r="V432" s="62"/>
      <c r="W432" s="63"/>
    </row>
    <row r="433" spans="1:23" x14ac:dyDescent="0.25">
      <c r="A433" s="58"/>
      <c r="B433" s="59"/>
      <c r="C433" s="59"/>
      <c r="D433" s="60"/>
      <c r="E433" s="59"/>
      <c r="F433" s="59"/>
      <c r="G433" s="60"/>
      <c r="H433" s="43" t="str" cm="1">
        <f t="array" ref="H433">IF(OR(F433="", G433=""), "",
  _xlfn.LET(
    _xlpm.rowIndex, MATCH(F433, INDEX(IncomeTable,,1), 0),
    _xlpm.thresholds, INDEX(IncomeTable, _xlpm.rowIndex, 2):INDEX(IncomeTable, _xlpm.rowIndex, 8),
    _xlpm.labels, {20,30,40,50,60,70,80},
    _xlpm.income, G433,
    IF(_xlpm.income &lt; INDEX(_xlpm.thresholds,1), "Below 20%",
      IF(_xlpm.income &gt; INDEX(_xlpm.thresholds,7), "Above 80%",
        INDEX(_xlpm.labels, _xlfn.XLOOKUP(_xlpm.income, _xlpm.thresholds, _xlfn.SEQUENCE(1,7), , -1))
      )
    )
  )
)</f>
        <v/>
      </c>
      <c r="I433" s="42" t="str">
        <f t="shared" si="27"/>
        <v/>
      </c>
      <c r="J433" s="61"/>
      <c r="K433" s="61"/>
      <c r="L433" s="61"/>
      <c r="M433" s="61"/>
      <c r="N433" s="47" t="str">
        <f t="shared" si="26"/>
        <v/>
      </c>
      <c r="O433" s="48" t="str">
        <f>IF(OR(C433="", B433=""), "",
  INDEX(RentTable, MATCH(B433, {0,1,2,3,4}, 0), MATCH(C433, {20,30,40,50,60,70,80}, 1))
)</f>
        <v/>
      </c>
      <c r="P433" s="60"/>
      <c r="Q433" s="48" t="str">
        <f t="shared" si="28"/>
        <v/>
      </c>
      <c r="R433" s="60"/>
      <c r="S433" s="60"/>
      <c r="T433" s="48" t="str">
        <f t="shared" si="25"/>
        <v/>
      </c>
      <c r="U433" s="42" t="str" cm="1">
        <f t="array" ref="U433">_xlfn.IFS(OR(Q433="", T433="", Q433=0, "", T433=0), "", AND(T433&lt;=Q433,D433&lt;=Q433), "Y", OR(T433&gt;Q433,D433&gt;Q433), "N")</f>
        <v/>
      </c>
      <c r="V433" s="62"/>
      <c r="W433" s="63"/>
    </row>
    <row r="434" spans="1:23" x14ac:dyDescent="0.25">
      <c r="A434" s="58"/>
      <c r="B434" s="59"/>
      <c r="C434" s="59"/>
      <c r="D434" s="60"/>
      <c r="E434" s="59"/>
      <c r="F434" s="59"/>
      <c r="G434" s="60"/>
      <c r="H434" s="43" t="str" cm="1">
        <f t="array" ref="H434">IF(OR(F434="", G434=""), "",
  _xlfn.LET(
    _xlpm.rowIndex, MATCH(F434, INDEX(IncomeTable,,1), 0),
    _xlpm.thresholds, INDEX(IncomeTable, _xlpm.rowIndex, 2):INDEX(IncomeTable, _xlpm.rowIndex, 8),
    _xlpm.labels, {20,30,40,50,60,70,80},
    _xlpm.income, G434,
    IF(_xlpm.income &lt; INDEX(_xlpm.thresholds,1), "Below 20%",
      IF(_xlpm.income &gt; INDEX(_xlpm.thresholds,7), "Above 80%",
        INDEX(_xlpm.labels, _xlfn.XLOOKUP(_xlpm.income, _xlpm.thresholds, _xlfn.SEQUENCE(1,7), , -1))
      )
    )
  )
)</f>
        <v/>
      </c>
      <c r="I434" s="42" t="str">
        <f t="shared" si="27"/>
        <v/>
      </c>
      <c r="J434" s="61"/>
      <c r="K434" s="61"/>
      <c r="L434" s="61"/>
      <c r="M434" s="61"/>
      <c r="N434" s="47" t="str">
        <f t="shared" si="26"/>
        <v/>
      </c>
      <c r="O434" s="48" t="str">
        <f>IF(OR(C434="", B434=""), "",
  INDEX(RentTable, MATCH(B434, {0,1,2,3,4}, 0), MATCH(C434, {20,30,40,50,60,70,80}, 1))
)</f>
        <v/>
      </c>
      <c r="P434" s="60"/>
      <c r="Q434" s="48" t="str">
        <f t="shared" si="28"/>
        <v/>
      </c>
      <c r="R434" s="60"/>
      <c r="S434" s="60"/>
      <c r="T434" s="48" t="str">
        <f t="shared" si="25"/>
        <v/>
      </c>
      <c r="U434" s="42" t="str" cm="1">
        <f t="array" ref="U434">_xlfn.IFS(OR(Q434="", T434="", Q434=0, "", T434=0), "", AND(T434&lt;=Q434,D434&lt;=Q434), "Y", OR(T434&gt;Q434,D434&gt;Q434), "N")</f>
        <v/>
      </c>
      <c r="V434" s="62"/>
      <c r="W434" s="63"/>
    </row>
    <row r="435" spans="1:23" x14ac:dyDescent="0.25">
      <c r="A435" s="58"/>
      <c r="B435" s="59"/>
      <c r="C435" s="59"/>
      <c r="D435" s="60"/>
      <c r="E435" s="59"/>
      <c r="F435" s="59"/>
      <c r="G435" s="60"/>
      <c r="H435" s="43" t="str" cm="1">
        <f t="array" ref="H435">IF(OR(F435="", G435=""), "",
  _xlfn.LET(
    _xlpm.rowIndex, MATCH(F435, INDEX(IncomeTable,,1), 0),
    _xlpm.thresholds, INDEX(IncomeTable, _xlpm.rowIndex, 2):INDEX(IncomeTable, _xlpm.rowIndex, 8),
    _xlpm.labels, {20,30,40,50,60,70,80},
    _xlpm.income, G435,
    IF(_xlpm.income &lt; INDEX(_xlpm.thresholds,1), "Below 20%",
      IF(_xlpm.income &gt; INDEX(_xlpm.thresholds,7), "Above 80%",
        INDEX(_xlpm.labels, _xlfn.XLOOKUP(_xlpm.income, _xlpm.thresholds, _xlfn.SEQUENCE(1,7), , -1))
      )
    )
  )
)</f>
        <v/>
      </c>
      <c r="I435" s="42" t="str">
        <f t="shared" si="27"/>
        <v/>
      </c>
      <c r="J435" s="61"/>
      <c r="K435" s="61"/>
      <c r="L435" s="61"/>
      <c r="M435" s="61"/>
      <c r="N435" s="47" t="str">
        <f t="shared" si="26"/>
        <v/>
      </c>
      <c r="O435" s="48" t="str">
        <f>IF(OR(C435="", B435=""), "",
  INDEX(RentTable, MATCH(B435, {0,1,2,3,4}, 0), MATCH(C435, {20,30,40,50,60,70,80}, 1))
)</f>
        <v/>
      </c>
      <c r="P435" s="60"/>
      <c r="Q435" s="48" t="str">
        <f t="shared" si="28"/>
        <v/>
      </c>
      <c r="R435" s="60"/>
      <c r="S435" s="60"/>
      <c r="T435" s="48" t="str">
        <f t="shared" si="25"/>
        <v/>
      </c>
      <c r="U435" s="42" t="str" cm="1">
        <f t="array" ref="U435">_xlfn.IFS(OR(Q435="", T435="", Q435=0, "", T435=0), "", AND(T435&lt;=Q435,D435&lt;=Q435), "Y", OR(T435&gt;Q435,D435&gt;Q435), "N")</f>
        <v/>
      </c>
      <c r="V435" s="62"/>
      <c r="W435" s="63"/>
    </row>
    <row r="436" spans="1:23" x14ac:dyDescent="0.25">
      <c r="A436" s="58"/>
      <c r="B436" s="59"/>
      <c r="C436" s="59"/>
      <c r="D436" s="60"/>
      <c r="E436" s="59"/>
      <c r="F436" s="59"/>
      <c r="G436" s="60"/>
      <c r="H436" s="43" t="str" cm="1">
        <f t="array" ref="H436">IF(OR(F436="", G436=""), "",
  _xlfn.LET(
    _xlpm.rowIndex, MATCH(F436, INDEX(IncomeTable,,1), 0),
    _xlpm.thresholds, INDEX(IncomeTable, _xlpm.rowIndex, 2):INDEX(IncomeTable, _xlpm.rowIndex, 8),
    _xlpm.labels, {20,30,40,50,60,70,80},
    _xlpm.income, G436,
    IF(_xlpm.income &lt; INDEX(_xlpm.thresholds,1), "Below 20%",
      IF(_xlpm.income &gt; INDEX(_xlpm.thresholds,7), "Above 80%",
        INDEX(_xlpm.labels, _xlfn.XLOOKUP(_xlpm.income, _xlpm.thresholds, _xlfn.SEQUENCE(1,7), , -1))
      )
    )
  )
)</f>
        <v/>
      </c>
      <c r="I436" s="42" t="str">
        <f t="shared" si="27"/>
        <v/>
      </c>
      <c r="J436" s="61"/>
      <c r="K436" s="61"/>
      <c r="L436" s="61"/>
      <c r="M436" s="61"/>
      <c r="N436" s="47" t="str">
        <f t="shared" si="26"/>
        <v/>
      </c>
      <c r="O436" s="48" t="str">
        <f>IF(OR(C436="", B436=""), "",
  INDEX(RentTable, MATCH(B436, {0,1,2,3,4}, 0), MATCH(C436, {20,30,40,50,60,70,80}, 1))
)</f>
        <v/>
      </c>
      <c r="P436" s="60"/>
      <c r="Q436" s="48" t="str">
        <f t="shared" si="28"/>
        <v/>
      </c>
      <c r="R436" s="60"/>
      <c r="S436" s="60"/>
      <c r="T436" s="48" t="str">
        <f t="shared" si="25"/>
        <v/>
      </c>
      <c r="U436" s="42" t="str" cm="1">
        <f t="array" ref="U436">_xlfn.IFS(OR(Q436="", T436="", Q436=0, "", T436=0), "", AND(T436&lt;=Q436,D436&lt;=Q436), "Y", OR(T436&gt;Q436,D436&gt;Q436), "N")</f>
        <v/>
      </c>
      <c r="V436" s="62"/>
      <c r="W436" s="63"/>
    </row>
    <row r="437" spans="1:23" x14ac:dyDescent="0.25">
      <c r="A437" s="58"/>
      <c r="B437" s="59"/>
      <c r="C437" s="59"/>
      <c r="D437" s="60"/>
      <c r="E437" s="59"/>
      <c r="F437" s="59"/>
      <c r="G437" s="60"/>
      <c r="H437" s="43" t="str" cm="1">
        <f t="array" ref="H437">IF(OR(F437="", G437=""), "",
  _xlfn.LET(
    _xlpm.rowIndex, MATCH(F437, INDEX(IncomeTable,,1), 0),
    _xlpm.thresholds, INDEX(IncomeTable, _xlpm.rowIndex, 2):INDEX(IncomeTable, _xlpm.rowIndex, 8),
    _xlpm.labels, {20,30,40,50,60,70,80},
    _xlpm.income, G437,
    IF(_xlpm.income &lt; INDEX(_xlpm.thresholds,1), "Below 20%",
      IF(_xlpm.income &gt; INDEX(_xlpm.thresholds,7), "Above 80%",
        INDEX(_xlpm.labels, _xlfn.XLOOKUP(_xlpm.income, _xlpm.thresholds, _xlfn.SEQUENCE(1,7), , -1))
      )
    )
  )
)</f>
        <v/>
      </c>
      <c r="I437" s="42" t="str">
        <f t="shared" si="27"/>
        <v/>
      </c>
      <c r="J437" s="61"/>
      <c r="K437" s="61"/>
      <c r="L437" s="61"/>
      <c r="M437" s="61"/>
      <c r="N437" s="47" t="str">
        <f t="shared" si="26"/>
        <v/>
      </c>
      <c r="O437" s="48" t="str">
        <f>IF(OR(C437="", B437=""), "",
  INDEX(RentTable, MATCH(B437, {0,1,2,3,4}, 0), MATCH(C437, {20,30,40,50,60,70,80}, 1))
)</f>
        <v/>
      </c>
      <c r="P437" s="60"/>
      <c r="Q437" s="48" t="str">
        <f t="shared" si="28"/>
        <v/>
      </c>
      <c r="R437" s="60"/>
      <c r="S437" s="60"/>
      <c r="T437" s="48" t="str">
        <f t="shared" si="25"/>
        <v/>
      </c>
      <c r="U437" s="42" t="str" cm="1">
        <f t="array" ref="U437">_xlfn.IFS(OR(Q437="", T437="", Q437=0, "", T437=0), "", AND(T437&lt;=Q437,D437&lt;=Q437), "Y", OR(T437&gt;Q437,D437&gt;Q437), "N")</f>
        <v/>
      </c>
      <c r="V437" s="62"/>
      <c r="W437" s="63"/>
    </row>
    <row r="438" spans="1:23" x14ac:dyDescent="0.25">
      <c r="A438" s="58"/>
      <c r="B438" s="59"/>
      <c r="C438" s="59"/>
      <c r="D438" s="60"/>
      <c r="E438" s="59"/>
      <c r="F438" s="59"/>
      <c r="G438" s="60"/>
      <c r="H438" s="43" t="str" cm="1">
        <f t="array" ref="H438">IF(OR(F438="", G438=""), "",
  _xlfn.LET(
    _xlpm.rowIndex, MATCH(F438, INDEX(IncomeTable,,1), 0),
    _xlpm.thresholds, INDEX(IncomeTable, _xlpm.rowIndex, 2):INDEX(IncomeTable, _xlpm.rowIndex, 8),
    _xlpm.labels, {20,30,40,50,60,70,80},
    _xlpm.income, G438,
    IF(_xlpm.income &lt; INDEX(_xlpm.thresholds,1), "Below 20%",
      IF(_xlpm.income &gt; INDEX(_xlpm.thresholds,7), "Above 80%",
        INDEX(_xlpm.labels, _xlfn.XLOOKUP(_xlpm.income, _xlpm.thresholds, _xlfn.SEQUENCE(1,7), , -1))
      )
    )
  )
)</f>
        <v/>
      </c>
      <c r="I438" s="42" t="str">
        <f t="shared" si="27"/>
        <v/>
      </c>
      <c r="J438" s="61"/>
      <c r="K438" s="61"/>
      <c r="L438" s="61"/>
      <c r="M438" s="61"/>
      <c r="N438" s="47" t="str">
        <f t="shared" si="26"/>
        <v/>
      </c>
      <c r="O438" s="48" t="str">
        <f>IF(OR(C438="", B438=""), "",
  INDEX(RentTable, MATCH(B438, {0,1,2,3,4}, 0), MATCH(C438, {20,30,40,50,60,70,80}, 1))
)</f>
        <v/>
      </c>
      <c r="P438" s="60"/>
      <c r="Q438" s="48" t="str">
        <f t="shared" si="28"/>
        <v/>
      </c>
      <c r="R438" s="60"/>
      <c r="S438" s="60"/>
      <c r="T438" s="48" t="str">
        <f t="shared" si="25"/>
        <v/>
      </c>
      <c r="U438" s="42" t="str" cm="1">
        <f t="array" ref="U438">_xlfn.IFS(OR(Q438="", T438="", Q438=0, "", T438=0), "", AND(T438&lt;=Q438,D438&lt;=Q438), "Y", OR(T438&gt;Q438,D438&gt;Q438), "N")</f>
        <v/>
      </c>
      <c r="V438" s="62"/>
      <c r="W438" s="63"/>
    </row>
    <row r="439" spans="1:23" x14ac:dyDescent="0.25">
      <c r="A439" s="58"/>
      <c r="B439" s="59"/>
      <c r="C439" s="59"/>
      <c r="D439" s="60"/>
      <c r="E439" s="59"/>
      <c r="F439" s="59"/>
      <c r="G439" s="60"/>
      <c r="H439" s="43" t="str" cm="1">
        <f t="array" ref="H439">IF(OR(F439="", G439=""), "",
  _xlfn.LET(
    _xlpm.rowIndex, MATCH(F439, INDEX(IncomeTable,,1), 0),
    _xlpm.thresholds, INDEX(IncomeTable, _xlpm.rowIndex, 2):INDEX(IncomeTable, _xlpm.rowIndex, 8),
    _xlpm.labels, {20,30,40,50,60,70,80},
    _xlpm.income, G439,
    IF(_xlpm.income &lt; INDEX(_xlpm.thresholds,1), "Below 20%",
      IF(_xlpm.income &gt; INDEX(_xlpm.thresholds,7), "Above 80%",
        INDEX(_xlpm.labels, _xlfn.XLOOKUP(_xlpm.income, _xlpm.thresholds, _xlfn.SEQUENCE(1,7), , -1))
      )
    )
  )
)</f>
        <v/>
      </c>
      <c r="I439" s="42" t="str">
        <f t="shared" si="27"/>
        <v/>
      </c>
      <c r="J439" s="61"/>
      <c r="K439" s="61"/>
      <c r="L439" s="61"/>
      <c r="M439" s="61"/>
      <c r="N439" s="47" t="str">
        <f t="shared" si="26"/>
        <v/>
      </c>
      <c r="O439" s="48" t="str">
        <f>IF(OR(C439="", B439=""), "",
  INDEX(RentTable, MATCH(B439, {0,1,2,3,4}, 0), MATCH(C439, {20,30,40,50,60,70,80}, 1))
)</f>
        <v/>
      </c>
      <c r="P439" s="60"/>
      <c r="Q439" s="48" t="str">
        <f t="shared" si="28"/>
        <v/>
      </c>
      <c r="R439" s="60"/>
      <c r="S439" s="60"/>
      <c r="T439" s="48" t="str">
        <f t="shared" si="25"/>
        <v/>
      </c>
      <c r="U439" s="42" t="str" cm="1">
        <f t="array" ref="U439">_xlfn.IFS(OR(Q439="", T439="", Q439=0, "", T439=0), "", AND(T439&lt;=Q439,D439&lt;=Q439), "Y", OR(T439&gt;Q439,D439&gt;Q439), "N")</f>
        <v/>
      </c>
      <c r="V439" s="62"/>
      <c r="W439" s="63"/>
    </row>
    <row r="440" spans="1:23" x14ac:dyDescent="0.25">
      <c r="A440" s="58"/>
      <c r="B440" s="59"/>
      <c r="C440" s="59"/>
      <c r="D440" s="60"/>
      <c r="E440" s="59"/>
      <c r="F440" s="59"/>
      <c r="G440" s="60"/>
      <c r="H440" s="43" t="str" cm="1">
        <f t="array" ref="H440">IF(OR(F440="", G440=""), "",
  _xlfn.LET(
    _xlpm.rowIndex, MATCH(F440, INDEX(IncomeTable,,1), 0),
    _xlpm.thresholds, INDEX(IncomeTable, _xlpm.rowIndex, 2):INDEX(IncomeTable, _xlpm.rowIndex, 8),
    _xlpm.labels, {20,30,40,50,60,70,80},
    _xlpm.income, G440,
    IF(_xlpm.income &lt; INDEX(_xlpm.thresholds,1), "Below 20%",
      IF(_xlpm.income &gt; INDEX(_xlpm.thresholds,7), "Above 80%",
        INDEX(_xlpm.labels, _xlfn.XLOOKUP(_xlpm.income, _xlpm.thresholds, _xlfn.SEQUENCE(1,7), , -1))
      )
    )
  )
)</f>
        <v/>
      </c>
      <c r="I440" s="42" t="str">
        <f t="shared" si="27"/>
        <v/>
      </c>
      <c r="J440" s="61"/>
      <c r="K440" s="61"/>
      <c r="L440" s="61"/>
      <c r="M440" s="61"/>
      <c r="N440" s="47" t="str">
        <f t="shared" si="26"/>
        <v/>
      </c>
      <c r="O440" s="48" t="str">
        <f>IF(OR(C440="", B440=""), "",
  INDEX(RentTable, MATCH(B440, {0,1,2,3,4}, 0), MATCH(C440, {20,30,40,50,60,70,80}, 1))
)</f>
        <v/>
      </c>
      <c r="P440" s="60"/>
      <c r="Q440" s="48" t="str">
        <f t="shared" si="28"/>
        <v/>
      </c>
      <c r="R440" s="60"/>
      <c r="S440" s="60"/>
      <c r="T440" s="48" t="str">
        <f t="shared" si="25"/>
        <v/>
      </c>
      <c r="U440" s="42" t="str" cm="1">
        <f t="array" ref="U440">_xlfn.IFS(OR(Q440="", T440="", Q440=0, "", T440=0), "", AND(T440&lt;=Q440,D440&lt;=Q440), "Y", OR(T440&gt;Q440,D440&gt;Q440), "N")</f>
        <v/>
      </c>
      <c r="V440" s="62"/>
      <c r="W440" s="63"/>
    </row>
    <row r="441" spans="1:23" x14ac:dyDescent="0.25">
      <c r="A441" s="58"/>
      <c r="B441" s="59"/>
      <c r="C441" s="59"/>
      <c r="D441" s="60"/>
      <c r="E441" s="59"/>
      <c r="F441" s="59"/>
      <c r="G441" s="60"/>
      <c r="H441" s="43" t="str" cm="1">
        <f t="array" ref="H441">IF(OR(F441="", G441=""), "",
  _xlfn.LET(
    _xlpm.rowIndex, MATCH(F441, INDEX(IncomeTable,,1), 0),
    _xlpm.thresholds, INDEX(IncomeTable, _xlpm.rowIndex, 2):INDEX(IncomeTable, _xlpm.rowIndex, 8),
    _xlpm.labels, {20,30,40,50,60,70,80},
    _xlpm.income, G441,
    IF(_xlpm.income &lt; INDEX(_xlpm.thresholds,1), "Below 20%",
      IF(_xlpm.income &gt; INDEX(_xlpm.thresholds,7), "Above 80%",
        INDEX(_xlpm.labels, _xlfn.XLOOKUP(_xlpm.income, _xlpm.thresholds, _xlfn.SEQUENCE(1,7), , -1))
      )
    )
  )
)</f>
        <v/>
      </c>
      <c r="I441" s="42" t="str">
        <f t="shared" si="27"/>
        <v/>
      </c>
      <c r="J441" s="61"/>
      <c r="K441" s="61"/>
      <c r="L441" s="61"/>
      <c r="M441" s="61"/>
      <c r="N441" s="47" t="str">
        <f t="shared" si="26"/>
        <v/>
      </c>
      <c r="O441" s="48" t="str">
        <f>IF(OR(C441="", B441=""), "",
  INDEX(RentTable, MATCH(B441, {0,1,2,3,4}, 0), MATCH(C441, {20,30,40,50,60,70,80}, 1))
)</f>
        <v/>
      </c>
      <c r="P441" s="60"/>
      <c r="Q441" s="48" t="str">
        <f t="shared" si="28"/>
        <v/>
      </c>
      <c r="R441" s="60"/>
      <c r="S441" s="60"/>
      <c r="T441" s="48" t="str">
        <f t="shared" si="25"/>
        <v/>
      </c>
      <c r="U441" s="42" t="str" cm="1">
        <f t="array" ref="U441">_xlfn.IFS(OR(Q441="", T441="", Q441=0, "", T441=0), "", AND(T441&lt;=Q441,D441&lt;=Q441), "Y", OR(T441&gt;Q441,D441&gt;Q441), "N")</f>
        <v/>
      </c>
      <c r="V441" s="62"/>
      <c r="W441" s="63"/>
    </row>
    <row r="442" spans="1:23" x14ac:dyDescent="0.25">
      <c r="A442" s="58"/>
      <c r="B442" s="59"/>
      <c r="C442" s="59"/>
      <c r="D442" s="60"/>
      <c r="E442" s="59"/>
      <c r="F442" s="59"/>
      <c r="G442" s="60"/>
      <c r="H442" s="43" t="str" cm="1">
        <f t="array" ref="H442">IF(OR(F442="", G442=""), "",
  _xlfn.LET(
    _xlpm.rowIndex, MATCH(F442, INDEX(IncomeTable,,1), 0),
    _xlpm.thresholds, INDEX(IncomeTable, _xlpm.rowIndex, 2):INDEX(IncomeTable, _xlpm.rowIndex, 8),
    _xlpm.labels, {20,30,40,50,60,70,80},
    _xlpm.income, G442,
    IF(_xlpm.income &lt; INDEX(_xlpm.thresholds,1), "Below 20%",
      IF(_xlpm.income &gt; INDEX(_xlpm.thresholds,7), "Above 80%",
        INDEX(_xlpm.labels, _xlfn.XLOOKUP(_xlpm.income, _xlpm.thresholds, _xlfn.SEQUENCE(1,7), , -1))
      )
    )
  )
)</f>
        <v/>
      </c>
      <c r="I442" s="42" t="str">
        <f t="shared" si="27"/>
        <v/>
      </c>
      <c r="J442" s="61"/>
      <c r="K442" s="61"/>
      <c r="L442" s="61"/>
      <c r="M442" s="61"/>
      <c r="N442" s="47" t="str">
        <f t="shared" si="26"/>
        <v/>
      </c>
      <c r="O442" s="48" t="str">
        <f>IF(OR(C442="", B442=""), "",
  INDEX(RentTable, MATCH(B442, {0,1,2,3,4}, 0), MATCH(C442, {20,30,40,50,60,70,80}, 1))
)</f>
        <v/>
      </c>
      <c r="P442" s="60"/>
      <c r="Q442" s="48" t="str">
        <f t="shared" si="28"/>
        <v/>
      </c>
      <c r="R442" s="60"/>
      <c r="S442" s="60"/>
      <c r="T442" s="48" t="str">
        <f t="shared" si="25"/>
        <v/>
      </c>
      <c r="U442" s="42" t="str" cm="1">
        <f t="array" ref="U442">_xlfn.IFS(OR(Q442="", T442="", Q442=0, "", T442=0), "", AND(T442&lt;=Q442,D442&lt;=Q442), "Y", OR(T442&gt;Q442,D442&gt;Q442), "N")</f>
        <v/>
      </c>
      <c r="V442" s="62"/>
      <c r="W442" s="63"/>
    </row>
    <row r="443" spans="1:23" x14ac:dyDescent="0.25">
      <c r="A443" s="58"/>
      <c r="B443" s="59"/>
      <c r="C443" s="59"/>
      <c r="D443" s="60"/>
      <c r="E443" s="59"/>
      <c r="F443" s="59"/>
      <c r="G443" s="60"/>
      <c r="H443" s="43" t="str" cm="1">
        <f t="array" ref="H443">IF(OR(F443="", G443=""), "",
  _xlfn.LET(
    _xlpm.rowIndex, MATCH(F443, INDEX(IncomeTable,,1), 0),
    _xlpm.thresholds, INDEX(IncomeTable, _xlpm.rowIndex, 2):INDEX(IncomeTable, _xlpm.rowIndex, 8),
    _xlpm.labels, {20,30,40,50,60,70,80},
    _xlpm.income, G443,
    IF(_xlpm.income &lt; INDEX(_xlpm.thresholds,1), "Below 20%",
      IF(_xlpm.income &gt; INDEX(_xlpm.thresholds,7), "Above 80%",
        INDEX(_xlpm.labels, _xlfn.XLOOKUP(_xlpm.income, _xlpm.thresholds, _xlfn.SEQUENCE(1,7), , -1))
      )
    )
  )
)</f>
        <v/>
      </c>
      <c r="I443" s="42" t="str">
        <f t="shared" si="27"/>
        <v/>
      </c>
      <c r="J443" s="61"/>
      <c r="K443" s="61"/>
      <c r="L443" s="61"/>
      <c r="M443" s="61"/>
      <c r="N443" s="47" t="str">
        <f t="shared" si="26"/>
        <v/>
      </c>
      <c r="O443" s="48" t="str">
        <f>IF(OR(C443="", B443=""), "",
  INDEX(RentTable, MATCH(B443, {0,1,2,3,4}, 0), MATCH(C443, {20,30,40,50,60,70,80}, 1))
)</f>
        <v/>
      </c>
      <c r="P443" s="60"/>
      <c r="Q443" s="48" t="str">
        <f t="shared" si="28"/>
        <v/>
      </c>
      <c r="R443" s="60"/>
      <c r="S443" s="60"/>
      <c r="T443" s="48" t="str">
        <f t="shared" si="25"/>
        <v/>
      </c>
      <c r="U443" s="42" t="str" cm="1">
        <f t="array" ref="U443">_xlfn.IFS(OR(Q443="", T443="", Q443=0, "", T443=0), "", AND(T443&lt;=Q443,D443&lt;=Q443), "Y", OR(T443&gt;Q443,D443&gt;Q443), "N")</f>
        <v/>
      </c>
      <c r="V443" s="62"/>
      <c r="W443" s="63"/>
    </row>
    <row r="444" spans="1:23" x14ac:dyDescent="0.25">
      <c r="A444" s="58"/>
      <c r="B444" s="59"/>
      <c r="C444" s="59"/>
      <c r="D444" s="60"/>
      <c r="E444" s="59"/>
      <c r="F444" s="59"/>
      <c r="G444" s="60"/>
      <c r="H444" s="43" t="str" cm="1">
        <f t="array" ref="H444">IF(OR(F444="", G444=""), "",
  _xlfn.LET(
    _xlpm.rowIndex, MATCH(F444, INDEX(IncomeTable,,1), 0),
    _xlpm.thresholds, INDEX(IncomeTable, _xlpm.rowIndex, 2):INDEX(IncomeTable, _xlpm.rowIndex, 8),
    _xlpm.labels, {20,30,40,50,60,70,80},
    _xlpm.income, G444,
    IF(_xlpm.income &lt; INDEX(_xlpm.thresholds,1), "Below 20%",
      IF(_xlpm.income &gt; INDEX(_xlpm.thresholds,7), "Above 80%",
        INDEX(_xlpm.labels, _xlfn.XLOOKUP(_xlpm.income, _xlpm.thresholds, _xlfn.SEQUENCE(1,7), , -1))
      )
    )
  )
)</f>
        <v/>
      </c>
      <c r="I444" s="42" t="str">
        <f t="shared" si="27"/>
        <v/>
      </c>
      <c r="J444" s="61"/>
      <c r="K444" s="61"/>
      <c r="L444" s="61"/>
      <c r="M444" s="61"/>
      <c r="N444" s="47" t="str">
        <f t="shared" si="26"/>
        <v/>
      </c>
      <c r="O444" s="48" t="str">
        <f>IF(OR(C444="", B444=""), "",
  INDEX(RentTable, MATCH(B444, {0,1,2,3,4}, 0), MATCH(C444, {20,30,40,50,60,70,80}, 1))
)</f>
        <v/>
      </c>
      <c r="P444" s="60"/>
      <c r="Q444" s="48" t="str">
        <f t="shared" si="28"/>
        <v/>
      </c>
      <c r="R444" s="60"/>
      <c r="S444" s="60"/>
      <c r="T444" s="48" t="str">
        <f t="shared" si="25"/>
        <v/>
      </c>
      <c r="U444" s="42" t="str" cm="1">
        <f t="array" ref="U444">_xlfn.IFS(OR(Q444="", T444="", Q444=0, "", T444=0), "", AND(T444&lt;=Q444,D444&lt;=Q444), "Y", OR(T444&gt;Q444,D444&gt;Q444), "N")</f>
        <v/>
      </c>
      <c r="V444" s="62"/>
      <c r="W444" s="63"/>
    </row>
    <row r="445" spans="1:23" x14ac:dyDescent="0.25">
      <c r="A445" s="58"/>
      <c r="B445" s="59"/>
      <c r="C445" s="59"/>
      <c r="D445" s="60"/>
      <c r="E445" s="59"/>
      <c r="F445" s="59"/>
      <c r="G445" s="60"/>
      <c r="H445" s="43" t="str" cm="1">
        <f t="array" ref="H445">IF(OR(F445="", G445=""), "",
  _xlfn.LET(
    _xlpm.rowIndex, MATCH(F445, INDEX(IncomeTable,,1), 0),
    _xlpm.thresholds, INDEX(IncomeTable, _xlpm.rowIndex, 2):INDEX(IncomeTable, _xlpm.rowIndex, 8),
    _xlpm.labels, {20,30,40,50,60,70,80},
    _xlpm.income, G445,
    IF(_xlpm.income &lt; INDEX(_xlpm.thresholds,1), "Below 20%",
      IF(_xlpm.income &gt; INDEX(_xlpm.thresholds,7), "Above 80%",
        INDEX(_xlpm.labels, _xlfn.XLOOKUP(_xlpm.income, _xlpm.thresholds, _xlfn.SEQUENCE(1,7), , -1))
      )
    )
  )
)</f>
        <v/>
      </c>
      <c r="I445" s="42" t="str">
        <f t="shared" si="27"/>
        <v/>
      </c>
      <c r="J445" s="61"/>
      <c r="K445" s="61"/>
      <c r="L445" s="61"/>
      <c r="M445" s="61"/>
      <c r="N445" s="47" t="str">
        <f t="shared" si="26"/>
        <v/>
      </c>
      <c r="O445" s="48" t="str">
        <f>IF(OR(C445="", B445=""), "",
  INDEX(RentTable, MATCH(B445, {0,1,2,3,4}, 0), MATCH(C445, {20,30,40,50,60,70,80}, 1))
)</f>
        <v/>
      </c>
      <c r="P445" s="60"/>
      <c r="Q445" s="48" t="str">
        <f t="shared" si="28"/>
        <v/>
      </c>
      <c r="R445" s="60"/>
      <c r="S445" s="60"/>
      <c r="T445" s="48" t="str">
        <f t="shared" si="25"/>
        <v/>
      </c>
      <c r="U445" s="42" t="str" cm="1">
        <f t="array" ref="U445">_xlfn.IFS(OR(Q445="", T445="", Q445=0, "", T445=0), "", AND(T445&lt;=Q445,D445&lt;=Q445), "Y", OR(T445&gt;Q445,D445&gt;Q445), "N")</f>
        <v/>
      </c>
      <c r="V445" s="62"/>
      <c r="W445" s="63"/>
    </row>
    <row r="446" spans="1:23" x14ac:dyDescent="0.25">
      <c r="A446" s="58"/>
      <c r="B446" s="59"/>
      <c r="C446" s="59"/>
      <c r="D446" s="60"/>
      <c r="E446" s="59"/>
      <c r="F446" s="59"/>
      <c r="G446" s="60"/>
      <c r="H446" s="43" t="str" cm="1">
        <f t="array" ref="H446">IF(OR(F446="", G446=""), "",
  _xlfn.LET(
    _xlpm.rowIndex, MATCH(F446, INDEX(IncomeTable,,1), 0),
    _xlpm.thresholds, INDEX(IncomeTable, _xlpm.rowIndex, 2):INDEX(IncomeTable, _xlpm.rowIndex, 8),
    _xlpm.labels, {20,30,40,50,60,70,80},
    _xlpm.income, G446,
    IF(_xlpm.income &lt; INDEX(_xlpm.thresholds,1), "Below 20%",
      IF(_xlpm.income &gt; INDEX(_xlpm.thresholds,7), "Above 80%",
        INDEX(_xlpm.labels, _xlfn.XLOOKUP(_xlpm.income, _xlpm.thresholds, _xlfn.SEQUENCE(1,7), , -1))
      )
    )
  )
)</f>
        <v/>
      </c>
      <c r="I446" s="42" t="str">
        <f t="shared" si="27"/>
        <v/>
      </c>
      <c r="J446" s="61"/>
      <c r="K446" s="61"/>
      <c r="L446" s="61"/>
      <c r="M446" s="61"/>
      <c r="N446" s="47" t="str">
        <f t="shared" si="26"/>
        <v/>
      </c>
      <c r="O446" s="48" t="str">
        <f>IF(OR(C446="", B446=""), "",
  INDEX(RentTable, MATCH(B446, {0,1,2,3,4}, 0), MATCH(C446, {20,30,40,50,60,70,80}, 1))
)</f>
        <v/>
      </c>
      <c r="P446" s="60"/>
      <c r="Q446" s="48" t="str">
        <f t="shared" si="28"/>
        <v/>
      </c>
      <c r="R446" s="60"/>
      <c r="S446" s="60"/>
      <c r="T446" s="48" t="str">
        <f t="shared" si="25"/>
        <v/>
      </c>
      <c r="U446" s="42" t="str" cm="1">
        <f t="array" ref="U446">_xlfn.IFS(OR(Q446="", T446="", Q446=0, "", T446=0), "", AND(T446&lt;=Q446,D446&lt;=Q446), "Y", OR(T446&gt;Q446,D446&gt;Q446), "N")</f>
        <v/>
      </c>
      <c r="V446" s="62"/>
      <c r="W446" s="63"/>
    </row>
    <row r="447" spans="1:23" x14ac:dyDescent="0.25">
      <c r="A447" s="58"/>
      <c r="B447" s="59"/>
      <c r="C447" s="59"/>
      <c r="D447" s="60"/>
      <c r="E447" s="59"/>
      <c r="F447" s="59"/>
      <c r="G447" s="60"/>
      <c r="H447" s="43" t="str" cm="1">
        <f t="array" ref="H447">IF(OR(F447="", G447=""), "",
  _xlfn.LET(
    _xlpm.rowIndex, MATCH(F447, INDEX(IncomeTable,,1), 0),
    _xlpm.thresholds, INDEX(IncomeTable, _xlpm.rowIndex, 2):INDEX(IncomeTable, _xlpm.rowIndex, 8),
    _xlpm.labels, {20,30,40,50,60,70,80},
    _xlpm.income, G447,
    IF(_xlpm.income &lt; INDEX(_xlpm.thresholds,1), "Below 20%",
      IF(_xlpm.income &gt; INDEX(_xlpm.thresholds,7), "Above 80%",
        INDEX(_xlpm.labels, _xlfn.XLOOKUP(_xlpm.income, _xlpm.thresholds, _xlfn.SEQUENCE(1,7), , -1))
      )
    )
  )
)</f>
        <v/>
      </c>
      <c r="I447" s="42" t="str">
        <f t="shared" si="27"/>
        <v/>
      </c>
      <c r="J447" s="61"/>
      <c r="K447" s="61"/>
      <c r="L447" s="61"/>
      <c r="M447" s="61"/>
      <c r="N447" s="47" t="str">
        <f t="shared" si="26"/>
        <v/>
      </c>
      <c r="O447" s="48" t="str">
        <f>IF(OR(C447="", B447=""), "",
  INDEX(RentTable, MATCH(B447, {0,1,2,3,4}, 0), MATCH(C447, {20,30,40,50,60,70,80}, 1))
)</f>
        <v/>
      </c>
      <c r="P447" s="60"/>
      <c r="Q447" s="48" t="str">
        <f t="shared" si="28"/>
        <v/>
      </c>
      <c r="R447" s="60"/>
      <c r="S447" s="60"/>
      <c r="T447" s="48" t="str">
        <f t="shared" si="25"/>
        <v/>
      </c>
      <c r="U447" s="42" t="str" cm="1">
        <f t="array" ref="U447">_xlfn.IFS(OR(Q447="", T447="", Q447=0, "", T447=0), "", AND(T447&lt;=Q447,D447&lt;=Q447), "Y", OR(T447&gt;Q447,D447&gt;Q447), "N")</f>
        <v/>
      </c>
      <c r="V447" s="62"/>
      <c r="W447" s="63"/>
    </row>
    <row r="448" spans="1:23" x14ac:dyDescent="0.25">
      <c r="A448" s="58"/>
      <c r="B448" s="59"/>
      <c r="C448" s="59"/>
      <c r="D448" s="60"/>
      <c r="E448" s="59"/>
      <c r="F448" s="59"/>
      <c r="G448" s="60"/>
      <c r="H448" s="43" t="str" cm="1">
        <f t="array" ref="H448">IF(OR(F448="", G448=""), "",
  _xlfn.LET(
    _xlpm.rowIndex, MATCH(F448, INDEX(IncomeTable,,1), 0),
    _xlpm.thresholds, INDEX(IncomeTable, _xlpm.rowIndex, 2):INDEX(IncomeTable, _xlpm.rowIndex, 8),
    _xlpm.labels, {20,30,40,50,60,70,80},
    _xlpm.income, G448,
    IF(_xlpm.income &lt; INDEX(_xlpm.thresholds,1), "Below 20%",
      IF(_xlpm.income &gt; INDEX(_xlpm.thresholds,7), "Above 80%",
        INDEX(_xlpm.labels, _xlfn.XLOOKUP(_xlpm.income, _xlpm.thresholds, _xlfn.SEQUENCE(1,7), , -1))
      )
    )
  )
)</f>
        <v/>
      </c>
      <c r="I448" s="42" t="str">
        <f t="shared" si="27"/>
        <v/>
      </c>
      <c r="J448" s="61"/>
      <c r="K448" s="61"/>
      <c r="L448" s="61"/>
      <c r="M448" s="61"/>
      <c r="N448" s="47" t="str">
        <f t="shared" si="26"/>
        <v/>
      </c>
      <c r="O448" s="48" t="str">
        <f>IF(OR(C448="", B448=""), "",
  INDEX(RentTable, MATCH(B448, {0,1,2,3,4}, 0), MATCH(C448, {20,30,40,50,60,70,80}, 1))
)</f>
        <v/>
      </c>
      <c r="P448" s="60"/>
      <c r="Q448" s="48" t="str">
        <f t="shared" si="28"/>
        <v/>
      </c>
      <c r="R448" s="60"/>
      <c r="S448" s="60"/>
      <c r="T448" s="48" t="str">
        <f t="shared" si="25"/>
        <v/>
      </c>
      <c r="U448" s="42" t="str" cm="1">
        <f t="array" ref="U448">_xlfn.IFS(OR(Q448="", T448="", Q448=0, "", T448=0), "", AND(T448&lt;=Q448,D448&lt;=Q448), "Y", OR(T448&gt;Q448,D448&gt;Q448), "N")</f>
        <v/>
      </c>
      <c r="V448" s="62"/>
      <c r="W448" s="63"/>
    </row>
    <row r="449" spans="1:23" x14ac:dyDescent="0.25">
      <c r="A449" s="58"/>
      <c r="B449" s="59"/>
      <c r="C449" s="59"/>
      <c r="D449" s="60"/>
      <c r="E449" s="59"/>
      <c r="F449" s="59"/>
      <c r="G449" s="60"/>
      <c r="H449" s="43" t="str" cm="1">
        <f t="array" ref="H449">IF(OR(F449="", G449=""), "",
  _xlfn.LET(
    _xlpm.rowIndex, MATCH(F449, INDEX(IncomeTable,,1), 0),
    _xlpm.thresholds, INDEX(IncomeTable, _xlpm.rowIndex, 2):INDEX(IncomeTable, _xlpm.rowIndex, 8),
    _xlpm.labels, {20,30,40,50,60,70,80},
    _xlpm.income, G449,
    IF(_xlpm.income &lt; INDEX(_xlpm.thresholds,1), "Below 20%",
      IF(_xlpm.income &gt; INDEX(_xlpm.thresholds,7), "Above 80%",
        INDEX(_xlpm.labels, _xlfn.XLOOKUP(_xlpm.income, _xlpm.thresholds, _xlfn.SEQUENCE(1,7), , -1))
      )
    )
  )
)</f>
        <v/>
      </c>
      <c r="I449" s="42" t="str">
        <f t="shared" si="27"/>
        <v/>
      </c>
      <c r="J449" s="61"/>
      <c r="K449" s="61"/>
      <c r="L449" s="61"/>
      <c r="M449" s="61"/>
      <c r="N449" s="47" t="str">
        <f t="shared" si="26"/>
        <v/>
      </c>
      <c r="O449" s="48" t="str">
        <f>IF(OR(C449="", B449=""), "",
  INDEX(RentTable, MATCH(B449, {0,1,2,3,4}, 0), MATCH(C449, {20,30,40,50,60,70,80}, 1))
)</f>
        <v/>
      </c>
      <c r="P449" s="60"/>
      <c r="Q449" s="48" t="str">
        <f t="shared" si="28"/>
        <v/>
      </c>
      <c r="R449" s="60"/>
      <c r="S449" s="60"/>
      <c r="T449" s="48" t="str">
        <f t="shared" si="25"/>
        <v/>
      </c>
      <c r="U449" s="42" t="str" cm="1">
        <f t="array" ref="U449">_xlfn.IFS(OR(Q449="", T449="", Q449=0, "", T449=0), "", AND(T449&lt;=Q449,D449&lt;=Q449), "Y", OR(T449&gt;Q449,D449&gt;Q449), "N")</f>
        <v/>
      </c>
      <c r="V449" s="62"/>
      <c r="W449" s="63"/>
    </row>
    <row r="450" spans="1:23" x14ac:dyDescent="0.25">
      <c r="A450" s="58"/>
      <c r="B450" s="59"/>
      <c r="C450" s="59"/>
      <c r="D450" s="60"/>
      <c r="E450" s="59"/>
      <c r="F450" s="59"/>
      <c r="G450" s="60"/>
      <c r="H450" s="43" t="str" cm="1">
        <f t="array" ref="H450">IF(OR(F450="", G450=""), "",
  _xlfn.LET(
    _xlpm.rowIndex, MATCH(F450, INDEX(IncomeTable,,1), 0),
    _xlpm.thresholds, INDEX(IncomeTable, _xlpm.rowIndex, 2):INDEX(IncomeTable, _xlpm.rowIndex, 8),
    _xlpm.labels, {20,30,40,50,60,70,80},
    _xlpm.income, G450,
    IF(_xlpm.income &lt; INDEX(_xlpm.thresholds,1), "Below 20%",
      IF(_xlpm.income &gt; INDEX(_xlpm.thresholds,7), "Above 80%",
        INDEX(_xlpm.labels, _xlfn.XLOOKUP(_xlpm.income, _xlpm.thresholds, _xlfn.SEQUENCE(1,7), , -1))
      )
    )
  )
)</f>
        <v/>
      </c>
      <c r="I450" s="42" t="str">
        <f t="shared" si="27"/>
        <v/>
      </c>
      <c r="J450" s="61"/>
      <c r="K450" s="61"/>
      <c r="L450" s="61"/>
      <c r="M450" s="61"/>
      <c r="N450" s="47" t="str">
        <f t="shared" si="26"/>
        <v/>
      </c>
      <c r="O450" s="48" t="str">
        <f>IF(OR(C450="", B450=""), "",
  INDEX(RentTable, MATCH(B450, {0,1,2,3,4}, 0), MATCH(C450, {20,30,40,50,60,70,80}, 1))
)</f>
        <v/>
      </c>
      <c r="P450" s="60"/>
      <c r="Q450" s="48" t="str">
        <f t="shared" si="28"/>
        <v/>
      </c>
      <c r="R450" s="60"/>
      <c r="S450" s="60"/>
      <c r="T450" s="48" t="str">
        <f t="shared" si="25"/>
        <v/>
      </c>
      <c r="U450" s="42" t="str" cm="1">
        <f t="array" ref="U450">_xlfn.IFS(OR(Q450="", T450="", Q450=0, "", T450=0), "", AND(T450&lt;=Q450,D450&lt;=Q450), "Y", OR(T450&gt;Q450,D450&gt;Q450), "N")</f>
        <v/>
      </c>
      <c r="V450" s="62"/>
      <c r="W450" s="63"/>
    </row>
    <row r="451" spans="1:23" x14ac:dyDescent="0.25">
      <c r="A451" s="58"/>
      <c r="B451" s="59"/>
      <c r="C451" s="59"/>
      <c r="D451" s="60"/>
      <c r="E451" s="59"/>
      <c r="F451" s="59"/>
      <c r="G451" s="60"/>
      <c r="H451" s="43" t="str" cm="1">
        <f t="array" ref="H451">IF(OR(F451="", G451=""), "",
  _xlfn.LET(
    _xlpm.rowIndex, MATCH(F451, INDEX(IncomeTable,,1), 0),
    _xlpm.thresholds, INDEX(IncomeTable, _xlpm.rowIndex, 2):INDEX(IncomeTable, _xlpm.rowIndex, 8),
    _xlpm.labels, {20,30,40,50,60,70,80},
    _xlpm.income, G451,
    IF(_xlpm.income &lt; INDEX(_xlpm.thresholds,1), "Below 20%",
      IF(_xlpm.income &gt; INDEX(_xlpm.thresholds,7), "Above 80%",
        INDEX(_xlpm.labels, _xlfn.XLOOKUP(_xlpm.income, _xlpm.thresholds, _xlfn.SEQUENCE(1,7), , -1))
      )
    )
  )
)</f>
        <v/>
      </c>
      <c r="I451" s="42" t="str">
        <f t="shared" si="27"/>
        <v/>
      </c>
      <c r="J451" s="61"/>
      <c r="K451" s="61"/>
      <c r="L451" s="61"/>
      <c r="M451" s="61"/>
      <c r="N451" s="47" t="str">
        <f t="shared" si="26"/>
        <v/>
      </c>
      <c r="O451" s="48" t="str">
        <f>IF(OR(C451="", B451=""), "",
  INDEX(RentTable, MATCH(B451, {0,1,2,3,4}, 0), MATCH(C451, {20,30,40,50,60,70,80}, 1))
)</f>
        <v/>
      </c>
      <c r="P451" s="60"/>
      <c r="Q451" s="48" t="str">
        <f t="shared" si="28"/>
        <v/>
      </c>
      <c r="R451" s="60"/>
      <c r="S451" s="60"/>
      <c r="T451" s="48" t="str">
        <f t="shared" si="25"/>
        <v/>
      </c>
      <c r="U451" s="42" t="str" cm="1">
        <f t="array" ref="U451">_xlfn.IFS(OR(Q451="", T451="", Q451=0, "", T451=0), "", AND(T451&lt;=Q451,D451&lt;=Q451), "Y", OR(T451&gt;Q451,D451&gt;Q451), "N")</f>
        <v/>
      </c>
      <c r="V451" s="62"/>
      <c r="W451" s="63"/>
    </row>
    <row r="452" spans="1:23" x14ac:dyDescent="0.25">
      <c r="A452" s="58"/>
      <c r="B452" s="59"/>
      <c r="C452" s="59"/>
      <c r="D452" s="60"/>
      <c r="E452" s="59"/>
      <c r="F452" s="59"/>
      <c r="G452" s="60"/>
      <c r="H452" s="43" t="str" cm="1">
        <f t="array" ref="H452">IF(OR(F452="", G452=""), "",
  _xlfn.LET(
    _xlpm.rowIndex, MATCH(F452, INDEX(IncomeTable,,1), 0),
    _xlpm.thresholds, INDEX(IncomeTable, _xlpm.rowIndex, 2):INDEX(IncomeTable, _xlpm.rowIndex, 8),
    _xlpm.labels, {20,30,40,50,60,70,80},
    _xlpm.income, G452,
    IF(_xlpm.income &lt; INDEX(_xlpm.thresholds,1), "Below 20%",
      IF(_xlpm.income &gt; INDEX(_xlpm.thresholds,7), "Above 80%",
        INDEX(_xlpm.labels, _xlfn.XLOOKUP(_xlpm.income, _xlpm.thresholds, _xlfn.SEQUENCE(1,7), , -1))
      )
    )
  )
)</f>
        <v/>
      </c>
      <c r="I452" s="42" t="str">
        <f t="shared" si="27"/>
        <v/>
      </c>
      <c r="J452" s="61"/>
      <c r="K452" s="61"/>
      <c r="L452" s="61"/>
      <c r="M452" s="61"/>
      <c r="N452" s="47" t="str">
        <f t="shared" si="26"/>
        <v/>
      </c>
      <c r="O452" s="48" t="str">
        <f>IF(OR(C452="", B452=""), "",
  INDEX(RentTable, MATCH(B452, {0,1,2,3,4}, 0), MATCH(C452, {20,30,40,50,60,70,80}, 1))
)</f>
        <v/>
      </c>
      <c r="P452" s="60"/>
      <c r="Q452" s="48" t="str">
        <f t="shared" si="28"/>
        <v/>
      </c>
      <c r="R452" s="60"/>
      <c r="S452" s="60"/>
      <c r="T452" s="48" t="str">
        <f t="shared" si="25"/>
        <v/>
      </c>
      <c r="U452" s="42" t="str" cm="1">
        <f t="array" ref="U452">_xlfn.IFS(OR(Q452="", T452="", Q452=0, "", T452=0), "", AND(T452&lt;=Q452,D452&lt;=Q452), "Y", OR(T452&gt;Q452,D452&gt;Q452), "N")</f>
        <v/>
      </c>
      <c r="V452" s="62"/>
      <c r="W452" s="63"/>
    </row>
    <row r="453" spans="1:23" x14ac:dyDescent="0.25">
      <c r="A453" s="58"/>
      <c r="B453" s="59"/>
      <c r="C453" s="59"/>
      <c r="D453" s="60"/>
      <c r="E453" s="59"/>
      <c r="F453" s="59"/>
      <c r="G453" s="60"/>
      <c r="H453" s="43" t="str" cm="1">
        <f t="array" ref="H453">IF(OR(F453="", G453=""), "",
  _xlfn.LET(
    _xlpm.rowIndex, MATCH(F453, INDEX(IncomeTable,,1), 0),
    _xlpm.thresholds, INDEX(IncomeTable, _xlpm.rowIndex, 2):INDEX(IncomeTable, _xlpm.rowIndex, 8),
    _xlpm.labels, {20,30,40,50,60,70,80},
    _xlpm.income, G453,
    IF(_xlpm.income &lt; INDEX(_xlpm.thresholds,1), "Below 20%",
      IF(_xlpm.income &gt; INDEX(_xlpm.thresholds,7), "Above 80%",
        INDEX(_xlpm.labels, _xlfn.XLOOKUP(_xlpm.income, _xlpm.thresholds, _xlfn.SEQUENCE(1,7), , -1))
      )
    )
  )
)</f>
        <v/>
      </c>
      <c r="I453" s="42" t="str">
        <f t="shared" si="27"/>
        <v/>
      </c>
      <c r="J453" s="61"/>
      <c r="K453" s="61"/>
      <c r="L453" s="61"/>
      <c r="M453" s="61"/>
      <c r="N453" s="47" t="str">
        <f t="shared" si="26"/>
        <v/>
      </c>
      <c r="O453" s="48" t="str">
        <f>IF(OR(C453="", B453=""), "",
  INDEX(RentTable, MATCH(B453, {0,1,2,3,4}, 0), MATCH(C453, {20,30,40,50,60,70,80}, 1))
)</f>
        <v/>
      </c>
      <c r="P453" s="60"/>
      <c r="Q453" s="48" t="str">
        <f t="shared" si="28"/>
        <v/>
      </c>
      <c r="R453" s="60"/>
      <c r="S453" s="60"/>
      <c r="T453" s="48" t="str">
        <f t="shared" si="25"/>
        <v/>
      </c>
      <c r="U453" s="42" t="str" cm="1">
        <f t="array" ref="U453">_xlfn.IFS(OR(Q453="", T453="", Q453=0, "", T453=0), "", AND(T453&lt;=Q453,D453&lt;=Q453), "Y", OR(T453&gt;Q453,D453&gt;Q453), "N")</f>
        <v/>
      </c>
      <c r="V453" s="62"/>
      <c r="W453" s="63"/>
    </row>
    <row r="454" spans="1:23" x14ac:dyDescent="0.25">
      <c r="A454" s="58"/>
      <c r="B454" s="59"/>
      <c r="C454" s="59"/>
      <c r="D454" s="60"/>
      <c r="E454" s="59"/>
      <c r="F454" s="59"/>
      <c r="G454" s="60"/>
      <c r="H454" s="43" t="str" cm="1">
        <f t="array" ref="H454">IF(OR(F454="", G454=""), "",
  _xlfn.LET(
    _xlpm.rowIndex, MATCH(F454, INDEX(IncomeTable,,1), 0),
    _xlpm.thresholds, INDEX(IncomeTable, _xlpm.rowIndex, 2):INDEX(IncomeTable, _xlpm.rowIndex, 8),
    _xlpm.labels, {20,30,40,50,60,70,80},
    _xlpm.income, G454,
    IF(_xlpm.income &lt; INDEX(_xlpm.thresholds,1), "Below 20%",
      IF(_xlpm.income &gt; INDEX(_xlpm.thresholds,7), "Above 80%",
        INDEX(_xlpm.labels, _xlfn.XLOOKUP(_xlpm.income, _xlpm.thresholds, _xlfn.SEQUENCE(1,7), , -1))
      )
    )
  )
)</f>
        <v/>
      </c>
      <c r="I454" s="42" t="str">
        <f t="shared" si="27"/>
        <v/>
      </c>
      <c r="J454" s="61"/>
      <c r="K454" s="61"/>
      <c r="L454" s="61"/>
      <c r="M454" s="61"/>
      <c r="N454" s="47" t="str">
        <f t="shared" si="26"/>
        <v/>
      </c>
      <c r="O454" s="48" t="str">
        <f>IF(OR(C454="", B454=""), "",
  INDEX(RentTable, MATCH(B454, {0,1,2,3,4}, 0), MATCH(C454, {20,30,40,50,60,70,80}, 1))
)</f>
        <v/>
      </c>
      <c r="P454" s="60"/>
      <c r="Q454" s="48" t="str">
        <f t="shared" si="28"/>
        <v/>
      </c>
      <c r="R454" s="60"/>
      <c r="S454" s="60"/>
      <c r="T454" s="48" t="str">
        <f t="shared" si="25"/>
        <v/>
      </c>
      <c r="U454" s="42" t="str" cm="1">
        <f t="array" ref="U454">_xlfn.IFS(OR(Q454="", T454="", Q454=0, "", T454=0), "", AND(T454&lt;=Q454,D454&lt;=Q454), "Y", OR(T454&gt;Q454,D454&gt;Q454), "N")</f>
        <v/>
      </c>
      <c r="V454" s="62"/>
      <c r="W454" s="63"/>
    </row>
    <row r="455" spans="1:23" x14ac:dyDescent="0.25">
      <c r="A455" s="58"/>
      <c r="B455" s="59"/>
      <c r="C455" s="59"/>
      <c r="D455" s="60"/>
      <c r="E455" s="59"/>
      <c r="F455" s="59"/>
      <c r="G455" s="60"/>
      <c r="H455" s="43" t="str" cm="1">
        <f t="array" ref="H455">IF(OR(F455="", G455=""), "",
  _xlfn.LET(
    _xlpm.rowIndex, MATCH(F455, INDEX(IncomeTable,,1), 0),
    _xlpm.thresholds, INDEX(IncomeTable, _xlpm.rowIndex, 2):INDEX(IncomeTable, _xlpm.rowIndex, 8),
    _xlpm.labels, {20,30,40,50,60,70,80},
    _xlpm.income, G455,
    IF(_xlpm.income &lt; INDEX(_xlpm.thresholds,1), "Below 20%",
      IF(_xlpm.income &gt; INDEX(_xlpm.thresholds,7), "Above 80%",
        INDEX(_xlpm.labels, _xlfn.XLOOKUP(_xlpm.income, _xlpm.thresholds, _xlfn.SEQUENCE(1,7), , -1))
      )
    )
  )
)</f>
        <v/>
      </c>
      <c r="I455" s="42" t="str">
        <f t="shared" si="27"/>
        <v/>
      </c>
      <c r="J455" s="61"/>
      <c r="K455" s="61"/>
      <c r="L455" s="61"/>
      <c r="M455" s="61"/>
      <c r="N455" s="47" t="str">
        <f t="shared" si="26"/>
        <v/>
      </c>
      <c r="O455" s="48" t="str">
        <f>IF(OR(C455="", B455=""), "",
  INDEX(RentTable, MATCH(B455, {0,1,2,3,4}, 0), MATCH(C455, {20,30,40,50,60,70,80}, 1))
)</f>
        <v/>
      </c>
      <c r="P455" s="60"/>
      <c r="Q455" s="48" t="str">
        <f t="shared" si="28"/>
        <v/>
      </c>
      <c r="R455" s="60"/>
      <c r="S455" s="60"/>
      <c r="T455" s="48" t="str">
        <f t="shared" si="25"/>
        <v/>
      </c>
      <c r="U455" s="42" t="str" cm="1">
        <f t="array" ref="U455">_xlfn.IFS(OR(Q455="", T455="", Q455=0, "", T455=0), "", AND(T455&lt;=Q455,D455&lt;=Q455), "Y", OR(T455&gt;Q455,D455&gt;Q455), "N")</f>
        <v/>
      </c>
      <c r="V455" s="62"/>
      <c r="W455" s="63"/>
    </row>
    <row r="456" spans="1:23" x14ac:dyDescent="0.25">
      <c r="A456" s="58"/>
      <c r="B456" s="59"/>
      <c r="C456" s="59"/>
      <c r="D456" s="60"/>
      <c r="E456" s="59"/>
      <c r="F456" s="59"/>
      <c r="G456" s="60"/>
      <c r="H456" s="43" t="str" cm="1">
        <f t="array" ref="H456">IF(OR(F456="", G456=""), "",
  _xlfn.LET(
    _xlpm.rowIndex, MATCH(F456, INDEX(IncomeTable,,1), 0),
    _xlpm.thresholds, INDEX(IncomeTable, _xlpm.rowIndex, 2):INDEX(IncomeTable, _xlpm.rowIndex, 8),
    _xlpm.labels, {20,30,40,50,60,70,80},
    _xlpm.income, G456,
    IF(_xlpm.income &lt; INDEX(_xlpm.thresholds,1), "Below 20%",
      IF(_xlpm.income &gt; INDEX(_xlpm.thresholds,7), "Above 80%",
        INDEX(_xlpm.labels, _xlfn.XLOOKUP(_xlpm.income, _xlpm.thresholds, _xlfn.SEQUENCE(1,7), , -1))
      )
    )
  )
)</f>
        <v/>
      </c>
      <c r="I456" s="42" t="str">
        <f t="shared" si="27"/>
        <v/>
      </c>
      <c r="J456" s="61"/>
      <c r="K456" s="61"/>
      <c r="L456" s="61"/>
      <c r="M456" s="61"/>
      <c r="N456" s="47" t="str">
        <f t="shared" si="26"/>
        <v/>
      </c>
      <c r="O456" s="48" t="str">
        <f>IF(OR(C456="", B456=""), "",
  INDEX(RentTable, MATCH(B456, {0,1,2,3,4}, 0), MATCH(C456, {20,30,40,50,60,70,80}, 1))
)</f>
        <v/>
      </c>
      <c r="P456" s="60"/>
      <c r="Q456" s="48" t="str">
        <f t="shared" si="28"/>
        <v/>
      </c>
      <c r="R456" s="60"/>
      <c r="S456" s="60"/>
      <c r="T456" s="48" t="str">
        <f t="shared" si="25"/>
        <v/>
      </c>
      <c r="U456" s="42" t="str" cm="1">
        <f t="array" ref="U456">_xlfn.IFS(OR(Q456="", T456="", Q456=0, "", T456=0), "", AND(T456&lt;=Q456,D456&lt;=Q456), "Y", OR(T456&gt;Q456,D456&gt;Q456), "N")</f>
        <v/>
      </c>
      <c r="V456" s="62"/>
      <c r="W456" s="63"/>
    </row>
    <row r="457" spans="1:23" x14ac:dyDescent="0.25">
      <c r="A457" s="58"/>
      <c r="B457" s="59"/>
      <c r="C457" s="59"/>
      <c r="D457" s="60"/>
      <c r="E457" s="59"/>
      <c r="F457" s="59"/>
      <c r="G457" s="60"/>
      <c r="H457" s="43" t="str" cm="1">
        <f t="array" ref="H457">IF(OR(F457="", G457=""), "",
  _xlfn.LET(
    _xlpm.rowIndex, MATCH(F457, INDEX(IncomeTable,,1), 0),
    _xlpm.thresholds, INDEX(IncomeTable, _xlpm.rowIndex, 2):INDEX(IncomeTable, _xlpm.rowIndex, 8),
    _xlpm.labels, {20,30,40,50,60,70,80},
    _xlpm.income, G457,
    IF(_xlpm.income &lt; INDEX(_xlpm.thresholds,1), "Below 20%",
      IF(_xlpm.income &gt; INDEX(_xlpm.thresholds,7), "Above 80%",
        INDEX(_xlpm.labels, _xlfn.XLOOKUP(_xlpm.income, _xlpm.thresholds, _xlfn.SEQUENCE(1,7), , -1))
      )
    )
  )
)</f>
        <v/>
      </c>
      <c r="I457" s="42" t="str">
        <f t="shared" si="27"/>
        <v/>
      </c>
      <c r="J457" s="61"/>
      <c r="K457" s="61"/>
      <c r="L457" s="61"/>
      <c r="M457" s="61"/>
      <c r="N457" s="47" t="str">
        <f t="shared" si="26"/>
        <v/>
      </c>
      <c r="O457" s="48" t="str">
        <f>IF(OR(C457="", B457=""), "",
  INDEX(RentTable, MATCH(B457, {0,1,2,3,4}, 0), MATCH(C457, {20,30,40,50,60,70,80}, 1))
)</f>
        <v/>
      </c>
      <c r="P457" s="60"/>
      <c r="Q457" s="48" t="str">
        <f t="shared" si="28"/>
        <v/>
      </c>
      <c r="R457" s="60"/>
      <c r="S457" s="60"/>
      <c r="T457" s="48" t="str">
        <f t="shared" si="25"/>
        <v/>
      </c>
      <c r="U457" s="42" t="str" cm="1">
        <f t="array" ref="U457">_xlfn.IFS(OR(Q457="", T457="", Q457=0, "", T457=0), "", AND(T457&lt;=Q457,D457&lt;=Q457), "Y", OR(T457&gt;Q457,D457&gt;Q457), "N")</f>
        <v/>
      </c>
      <c r="V457" s="62"/>
      <c r="W457" s="63"/>
    </row>
    <row r="458" spans="1:23" x14ac:dyDescent="0.25">
      <c r="A458" s="58"/>
      <c r="B458" s="59"/>
      <c r="C458" s="59"/>
      <c r="D458" s="60"/>
      <c r="E458" s="59"/>
      <c r="F458" s="59"/>
      <c r="G458" s="60"/>
      <c r="H458" s="43" t="str" cm="1">
        <f t="array" ref="H458">IF(OR(F458="", G458=""), "",
  _xlfn.LET(
    _xlpm.rowIndex, MATCH(F458, INDEX(IncomeTable,,1), 0),
    _xlpm.thresholds, INDEX(IncomeTable, _xlpm.rowIndex, 2):INDEX(IncomeTable, _xlpm.rowIndex, 8),
    _xlpm.labels, {20,30,40,50,60,70,80},
    _xlpm.income, G458,
    IF(_xlpm.income &lt; INDEX(_xlpm.thresholds,1), "Below 20%",
      IF(_xlpm.income &gt; INDEX(_xlpm.thresholds,7), "Above 80%",
        INDEX(_xlpm.labels, _xlfn.XLOOKUP(_xlpm.income, _xlpm.thresholds, _xlfn.SEQUENCE(1,7), , -1))
      )
    )
  )
)</f>
        <v/>
      </c>
      <c r="I458" s="42" t="str">
        <f t="shared" si="27"/>
        <v/>
      </c>
      <c r="J458" s="61"/>
      <c r="K458" s="61"/>
      <c r="L458" s="61"/>
      <c r="M458" s="61"/>
      <c r="N458" s="47" t="str">
        <f t="shared" si="26"/>
        <v/>
      </c>
      <c r="O458" s="48" t="str">
        <f>IF(OR(C458="", B458=""), "",
  INDEX(RentTable, MATCH(B458, {0,1,2,3,4}, 0), MATCH(C458, {20,30,40,50,60,70,80}, 1))
)</f>
        <v/>
      </c>
      <c r="P458" s="60"/>
      <c r="Q458" s="48" t="str">
        <f t="shared" si="28"/>
        <v/>
      </c>
      <c r="R458" s="60"/>
      <c r="S458" s="60"/>
      <c r="T458" s="48" t="str">
        <f t="shared" si="25"/>
        <v/>
      </c>
      <c r="U458" s="42" t="str" cm="1">
        <f t="array" ref="U458">_xlfn.IFS(OR(Q458="", T458="", Q458=0, "", T458=0), "", AND(T458&lt;=Q458,D458&lt;=Q458), "Y", OR(T458&gt;Q458,D458&gt;Q458), "N")</f>
        <v/>
      </c>
      <c r="V458" s="62"/>
      <c r="W458" s="63"/>
    </row>
    <row r="459" spans="1:23" x14ac:dyDescent="0.25">
      <c r="A459" s="58"/>
      <c r="B459" s="59"/>
      <c r="C459" s="59"/>
      <c r="D459" s="60"/>
      <c r="E459" s="59"/>
      <c r="F459" s="59"/>
      <c r="G459" s="60"/>
      <c r="H459" s="43" t="str" cm="1">
        <f t="array" ref="H459">IF(OR(F459="", G459=""), "",
  _xlfn.LET(
    _xlpm.rowIndex, MATCH(F459, INDEX(IncomeTable,,1), 0),
    _xlpm.thresholds, INDEX(IncomeTable, _xlpm.rowIndex, 2):INDEX(IncomeTable, _xlpm.rowIndex, 8),
    _xlpm.labels, {20,30,40,50,60,70,80},
    _xlpm.income, G459,
    IF(_xlpm.income &lt; INDEX(_xlpm.thresholds,1), "Below 20%",
      IF(_xlpm.income &gt; INDEX(_xlpm.thresholds,7), "Above 80%",
        INDEX(_xlpm.labels, _xlfn.XLOOKUP(_xlpm.income, _xlpm.thresholds, _xlfn.SEQUENCE(1,7), , -1))
      )
    )
  )
)</f>
        <v/>
      </c>
      <c r="I459" s="42" t="str">
        <f t="shared" si="27"/>
        <v/>
      </c>
      <c r="J459" s="61"/>
      <c r="K459" s="61"/>
      <c r="L459" s="61"/>
      <c r="M459" s="61"/>
      <c r="N459" s="47" t="str">
        <f t="shared" si="26"/>
        <v/>
      </c>
      <c r="O459" s="48" t="str">
        <f>IF(OR(C459="", B459=""), "",
  INDEX(RentTable, MATCH(B459, {0,1,2,3,4}, 0), MATCH(C459, {20,30,40,50,60,70,80}, 1))
)</f>
        <v/>
      </c>
      <c r="P459" s="60"/>
      <c r="Q459" s="48" t="str">
        <f t="shared" si="28"/>
        <v/>
      </c>
      <c r="R459" s="60"/>
      <c r="S459" s="60"/>
      <c r="T459" s="48" t="str">
        <f t="shared" si="25"/>
        <v/>
      </c>
      <c r="U459" s="42" t="str" cm="1">
        <f t="array" ref="U459">_xlfn.IFS(OR(Q459="", T459="", Q459=0, "", T459=0), "", AND(T459&lt;=Q459,D459&lt;=Q459), "Y", OR(T459&gt;Q459,D459&gt;Q459), "N")</f>
        <v/>
      </c>
      <c r="V459" s="62"/>
      <c r="W459" s="63"/>
    </row>
    <row r="460" spans="1:23" x14ac:dyDescent="0.25">
      <c r="A460" s="58"/>
      <c r="B460" s="59"/>
      <c r="C460" s="59"/>
      <c r="D460" s="60"/>
      <c r="E460" s="59"/>
      <c r="F460" s="59"/>
      <c r="G460" s="60"/>
      <c r="H460" s="43" t="str" cm="1">
        <f t="array" ref="H460">IF(OR(F460="", G460=""), "",
  _xlfn.LET(
    _xlpm.rowIndex, MATCH(F460, INDEX(IncomeTable,,1), 0),
    _xlpm.thresholds, INDEX(IncomeTable, _xlpm.rowIndex, 2):INDEX(IncomeTable, _xlpm.rowIndex, 8),
    _xlpm.labels, {20,30,40,50,60,70,80},
    _xlpm.income, G460,
    IF(_xlpm.income &lt; INDEX(_xlpm.thresholds,1), "Below 20%",
      IF(_xlpm.income &gt; INDEX(_xlpm.thresholds,7), "Above 80%",
        INDEX(_xlpm.labels, _xlfn.XLOOKUP(_xlpm.income, _xlpm.thresholds, _xlfn.SEQUENCE(1,7), , -1))
      )
    )
  )
)</f>
        <v/>
      </c>
      <c r="I460" s="42" t="str">
        <f t="shared" si="27"/>
        <v/>
      </c>
      <c r="J460" s="61"/>
      <c r="K460" s="61"/>
      <c r="L460" s="61"/>
      <c r="M460" s="61"/>
      <c r="N460" s="47" t="str">
        <f t="shared" si="26"/>
        <v/>
      </c>
      <c r="O460" s="48" t="str">
        <f>IF(OR(C460="", B460=""), "",
  INDEX(RentTable, MATCH(B460, {0,1,2,3,4}, 0), MATCH(C460, {20,30,40,50,60,70,80}, 1))
)</f>
        <v/>
      </c>
      <c r="P460" s="60"/>
      <c r="Q460" s="48" t="str">
        <f t="shared" si="28"/>
        <v/>
      </c>
      <c r="R460" s="60"/>
      <c r="S460" s="60"/>
      <c r="T460" s="48" t="str">
        <f t="shared" si="25"/>
        <v/>
      </c>
      <c r="U460" s="42" t="str" cm="1">
        <f t="array" ref="U460">_xlfn.IFS(OR(Q460="", T460="", Q460=0, "", T460=0), "", AND(T460&lt;=Q460,D460&lt;=Q460), "Y", OR(T460&gt;Q460,D460&gt;Q460), "N")</f>
        <v/>
      </c>
      <c r="V460" s="62"/>
      <c r="W460" s="63"/>
    </row>
    <row r="461" spans="1:23" x14ac:dyDescent="0.25">
      <c r="A461" s="58"/>
      <c r="B461" s="59"/>
      <c r="C461" s="59"/>
      <c r="D461" s="60"/>
      <c r="E461" s="59"/>
      <c r="F461" s="59"/>
      <c r="G461" s="60"/>
      <c r="H461" s="43" t="str" cm="1">
        <f t="array" ref="H461">IF(OR(F461="", G461=""), "",
  _xlfn.LET(
    _xlpm.rowIndex, MATCH(F461, INDEX(IncomeTable,,1), 0),
    _xlpm.thresholds, INDEX(IncomeTable, _xlpm.rowIndex, 2):INDEX(IncomeTable, _xlpm.rowIndex, 8),
    _xlpm.labels, {20,30,40,50,60,70,80},
    _xlpm.income, G461,
    IF(_xlpm.income &lt; INDEX(_xlpm.thresholds,1), "Below 20%",
      IF(_xlpm.income &gt; INDEX(_xlpm.thresholds,7), "Above 80%",
        INDEX(_xlpm.labels, _xlfn.XLOOKUP(_xlpm.income, _xlpm.thresholds, _xlfn.SEQUENCE(1,7), , -1))
      )
    )
  )
)</f>
        <v/>
      </c>
      <c r="I461" s="42" t="str">
        <f t="shared" si="27"/>
        <v/>
      </c>
      <c r="J461" s="61"/>
      <c r="K461" s="61"/>
      <c r="L461" s="61"/>
      <c r="M461" s="61"/>
      <c r="N461" s="47" t="str">
        <f t="shared" si="26"/>
        <v/>
      </c>
      <c r="O461" s="48" t="str">
        <f>IF(OR(C461="", B461=""), "",
  INDEX(RentTable, MATCH(B461, {0,1,2,3,4}, 0), MATCH(C461, {20,30,40,50,60,70,80}, 1))
)</f>
        <v/>
      </c>
      <c r="P461" s="60"/>
      <c r="Q461" s="48" t="str">
        <f t="shared" si="28"/>
        <v/>
      </c>
      <c r="R461" s="60"/>
      <c r="S461" s="60"/>
      <c r="T461" s="48" t="str">
        <f t="shared" si="25"/>
        <v/>
      </c>
      <c r="U461" s="42" t="str" cm="1">
        <f t="array" ref="U461">_xlfn.IFS(OR(Q461="", T461="", Q461=0, "", T461=0), "", AND(T461&lt;=Q461,D461&lt;=Q461), "Y", OR(T461&gt;Q461,D461&gt;Q461), "N")</f>
        <v/>
      </c>
      <c r="V461" s="62"/>
      <c r="W461" s="63"/>
    </row>
    <row r="462" spans="1:23" x14ac:dyDescent="0.25">
      <c r="A462" s="58"/>
      <c r="B462" s="59"/>
      <c r="C462" s="59"/>
      <c r="D462" s="60"/>
      <c r="E462" s="59"/>
      <c r="F462" s="59"/>
      <c r="G462" s="60"/>
      <c r="H462" s="43" t="str" cm="1">
        <f t="array" ref="H462">IF(OR(F462="", G462=""), "",
  _xlfn.LET(
    _xlpm.rowIndex, MATCH(F462, INDEX(IncomeTable,,1), 0),
    _xlpm.thresholds, INDEX(IncomeTable, _xlpm.rowIndex, 2):INDEX(IncomeTable, _xlpm.rowIndex, 8),
    _xlpm.labels, {20,30,40,50,60,70,80},
    _xlpm.income, G462,
    IF(_xlpm.income &lt; INDEX(_xlpm.thresholds,1), "Below 20%",
      IF(_xlpm.income &gt; INDEX(_xlpm.thresholds,7), "Above 80%",
        INDEX(_xlpm.labels, _xlfn.XLOOKUP(_xlpm.income, _xlpm.thresholds, _xlfn.SEQUENCE(1,7), , -1))
      )
    )
  )
)</f>
        <v/>
      </c>
      <c r="I462" s="42" t="str">
        <f t="shared" si="27"/>
        <v/>
      </c>
      <c r="J462" s="61"/>
      <c r="K462" s="61"/>
      <c r="L462" s="61"/>
      <c r="M462" s="61"/>
      <c r="N462" s="47" t="str">
        <f t="shared" si="26"/>
        <v/>
      </c>
      <c r="O462" s="48" t="str">
        <f>IF(OR(C462="", B462=""), "",
  INDEX(RentTable, MATCH(B462, {0,1,2,3,4}, 0), MATCH(C462, {20,30,40,50,60,70,80}, 1))
)</f>
        <v/>
      </c>
      <c r="P462" s="60"/>
      <c r="Q462" s="48" t="str">
        <f t="shared" si="28"/>
        <v/>
      </c>
      <c r="R462" s="60"/>
      <c r="S462" s="60"/>
      <c r="T462" s="48" t="str">
        <f t="shared" si="25"/>
        <v/>
      </c>
      <c r="U462" s="42" t="str" cm="1">
        <f t="array" ref="U462">_xlfn.IFS(OR(Q462="", T462="", Q462=0, "", T462=0), "", AND(T462&lt;=Q462,D462&lt;=Q462), "Y", OR(T462&gt;Q462,D462&gt;Q462), "N")</f>
        <v/>
      </c>
      <c r="V462" s="62"/>
      <c r="W462" s="63"/>
    </row>
    <row r="463" spans="1:23" x14ac:dyDescent="0.25">
      <c r="A463" s="58"/>
      <c r="B463" s="59"/>
      <c r="C463" s="59"/>
      <c r="D463" s="60"/>
      <c r="E463" s="59"/>
      <c r="F463" s="59"/>
      <c r="G463" s="60"/>
      <c r="H463" s="43" t="str" cm="1">
        <f t="array" ref="H463">IF(OR(F463="", G463=""), "",
  _xlfn.LET(
    _xlpm.rowIndex, MATCH(F463, INDEX(IncomeTable,,1), 0),
    _xlpm.thresholds, INDEX(IncomeTable, _xlpm.rowIndex, 2):INDEX(IncomeTable, _xlpm.rowIndex, 8),
    _xlpm.labels, {20,30,40,50,60,70,80},
    _xlpm.income, G463,
    IF(_xlpm.income &lt; INDEX(_xlpm.thresholds,1), "Below 20%",
      IF(_xlpm.income &gt; INDEX(_xlpm.thresholds,7), "Above 80%",
        INDEX(_xlpm.labels, _xlfn.XLOOKUP(_xlpm.income, _xlpm.thresholds, _xlfn.SEQUENCE(1,7), , -1))
      )
    )
  )
)</f>
        <v/>
      </c>
      <c r="I463" s="42" t="str">
        <f t="shared" si="27"/>
        <v/>
      </c>
      <c r="J463" s="61"/>
      <c r="K463" s="61"/>
      <c r="L463" s="61"/>
      <c r="M463" s="61"/>
      <c r="N463" s="47" t="str">
        <f t="shared" si="26"/>
        <v/>
      </c>
      <c r="O463" s="48" t="str">
        <f>IF(OR(C463="", B463=""), "",
  INDEX(RentTable, MATCH(B463, {0,1,2,3,4}, 0), MATCH(C463, {20,30,40,50,60,70,80}, 1))
)</f>
        <v/>
      </c>
      <c r="P463" s="60"/>
      <c r="Q463" s="48" t="str">
        <f t="shared" si="28"/>
        <v/>
      </c>
      <c r="R463" s="60"/>
      <c r="S463" s="60"/>
      <c r="T463" s="48" t="str">
        <f t="shared" si="25"/>
        <v/>
      </c>
      <c r="U463" s="42" t="str" cm="1">
        <f t="array" ref="U463">_xlfn.IFS(OR(Q463="", T463="", Q463=0, "", T463=0), "", AND(T463&lt;=Q463,D463&lt;=Q463), "Y", OR(T463&gt;Q463,D463&gt;Q463), "N")</f>
        <v/>
      </c>
      <c r="V463" s="62"/>
      <c r="W463" s="63"/>
    </row>
    <row r="464" spans="1:23" x14ac:dyDescent="0.25">
      <c r="A464" s="58"/>
      <c r="B464" s="59"/>
      <c r="C464" s="59"/>
      <c r="D464" s="60"/>
      <c r="E464" s="59"/>
      <c r="F464" s="59"/>
      <c r="G464" s="60"/>
      <c r="H464" s="43" t="str" cm="1">
        <f t="array" ref="H464">IF(OR(F464="", G464=""), "",
  _xlfn.LET(
    _xlpm.rowIndex, MATCH(F464, INDEX(IncomeTable,,1), 0),
    _xlpm.thresholds, INDEX(IncomeTable, _xlpm.rowIndex, 2):INDEX(IncomeTable, _xlpm.rowIndex, 8),
    _xlpm.labels, {20,30,40,50,60,70,80},
    _xlpm.income, G464,
    IF(_xlpm.income &lt; INDEX(_xlpm.thresholds,1), "Below 20%",
      IF(_xlpm.income &gt; INDEX(_xlpm.thresholds,7), "Above 80%",
        INDEX(_xlpm.labels, _xlfn.XLOOKUP(_xlpm.income, _xlpm.thresholds, _xlfn.SEQUENCE(1,7), , -1))
      )
    )
  )
)</f>
        <v/>
      </c>
      <c r="I464" s="42" t="str">
        <f t="shared" si="27"/>
        <v/>
      </c>
      <c r="J464" s="61"/>
      <c r="K464" s="61"/>
      <c r="L464" s="61"/>
      <c r="M464" s="61"/>
      <c r="N464" s="47" t="str">
        <f t="shared" si="26"/>
        <v/>
      </c>
      <c r="O464" s="48" t="str">
        <f>IF(OR(C464="", B464=""), "",
  INDEX(RentTable, MATCH(B464, {0,1,2,3,4}, 0), MATCH(C464, {20,30,40,50,60,70,80}, 1))
)</f>
        <v/>
      </c>
      <c r="P464" s="60"/>
      <c r="Q464" s="48" t="str">
        <f t="shared" si="28"/>
        <v/>
      </c>
      <c r="R464" s="60"/>
      <c r="S464" s="60"/>
      <c r="T464" s="48" t="str">
        <f t="shared" si="25"/>
        <v/>
      </c>
      <c r="U464" s="42" t="str" cm="1">
        <f t="array" ref="U464">_xlfn.IFS(OR(Q464="", T464="", Q464=0, "", T464=0), "", AND(T464&lt;=Q464,D464&lt;=Q464), "Y", OR(T464&gt;Q464,D464&gt;Q464), "N")</f>
        <v/>
      </c>
      <c r="V464" s="62"/>
      <c r="W464" s="63"/>
    </row>
    <row r="465" spans="1:23" x14ac:dyDescent="0.25">
      <c r="A465" s="58"/>
      <c r="B465" s="59"/>
      <c r="C465" s="59"/>
      <c r="D465" s="60"/>
      <c r="E465" s="59"/>
      <c r="F465" s="59"/>
      <c r="G465" s="60"/>
      <c r="H465" s="43" t="str" cm="1">
        <f t="array" ref="H465">IF(OR(F465="", G465=""), "",
  _xlfn.LET(
    _xlpm.rowIndex, MATCH(F465, INDEX(IncomeTable,,1), 0),
    _xlpm.thresholds, INDEX(IncomeTable, _xlpm.rowIndex, 2):INDEX(IncomeTable, _xlpm.rowIndex, 8),
    _xlpm.labels, {20,30,40,50,60,70,80},
    _xlpm.income, G465,
    IF(_xlpm.income &lt; INDEX(_xlpm.thresholds,1), "Below 20%",
      IF(_xlpm.income &gt; INDEX(_xlpm.thresholds,7), "Above 80%",
        INDEX(_xlpm.labels, _xlfn.XLOOKUP(_xlpm.income, _xlpm.thresholds, _xlfn.SEQUENCE(1,7), , -1))
      )
    )
  )
)</f>
        <v/>
      </c>
      <c r="I465" s="42" t="str">
        <f t="shared" si="27"/>
        <v/>
      </c>
      <c r="J465" s="61"/>
      <c r="K465" s="61"/>
      <c r="L465" s="61"/>
      <c r="M465" s="61"/>
      <c r="N465" s="47" t="str">
        <f t="shared" si="26"/>
        <v/>
      </c>
      <c r="O465" s="48" t="str">
        <f>IF(OR(C465="", B465=""), "",
  INDEX(RentTable, MATCH(B465, {0,1,2,3,4}, 0), MATCH(C465, {20,30,40,50,60,70,80}, 1))
)</f>
        <v/>
      </c>
      <c r="P465" s="60"/>
      <c r="Q465" s="48" t="str">
        <f t="shared" si="28"/>
        <v/>
      </c>
      <c r="R465" s="60"/>
      <c r="S465" s="60"/>
      <c r="T465" s="48" t="str">
        <f t="shared" si="25"/>
        <v/>
      </c>
      <c r="U465" s="42" t="str" cm="1">
        <f t="array" ref="U465">_xlfn.IFS(OR(Q465="", T465="", Q465=0, "", T465=0), "", AND(T465&lt;=Q465,D465&lt;=Q465), "Y", OR(T465&gt;Q465,D465&gt;Q465), "N")</f>
        <v/>
      </c>
      <c r="V465" s="62"/>
      <c r="W465" s="63"/>
    </row>
    <row r="466" spans="1:23" x14ac:dyDescent="0.25">
      <c r="A466" s="58"/>
      <c r="B466" s="59"/>
      <c r="C466" s="59"/>
      <c r="D466" s="60"/>
      <c r="E466" s="59"/>
      <c r="F466" s="59"/>
      <c r="G466" s="60"/>
      <c r="H466" s="43" t="str" cm="1">
        <f t="array" ref="H466">IF(OR(F466="", G466=""), "",
  _xlfn.LET(
    _xlpm.rowIndex, MATCH(F466, INDEX(IncomeTable,,1), 0),
    _xlpm.thresholds, INDEX(IncomeTable, _xlpm.rowIndex, 2):INDEX(IncomeTable, _xlpm.rowIndex, 8),
    _xlpm.labels, {20,30,40,50,60,70,80},
    _xlpm.income, G466,
    IF(_xlpm.income &lt; INDEX(_xlpm.thresholds,1), "Below 20%",
      IF(_xlpm.income &gt; INDEX(_xlpm.thresholds,7), "Above 80%",
        INDEX(_xlpm.labels, _xlfn.XLOOKUP(_xlpm.income, _xlpm.thresholds, _xlfn.SEQUENCE(1,7), , -1))
      )
    )
  )
)</f>
        <v/>
      </c>
      <c r="I466" s="42" t="str">
        <f t="shared" si="27"/>
        <v/>
      </c>
      <c r="J466" s="61"/>
      <c r="K466" s="61"/>
      <c r="L466" s="61"/>
      <c r="M466" s="61"/>
      <c r="N466" s="47" t="str">
        <f t="shared" si="26"/>
        <v/>
      </c>
      <c r="O466" s="48" t="str">
        <f>IF(OR(C466="", B466=""), "",
  INDEX(RentTable, MATCH(B466, {0,1,2,3,4}, 0), MATCH(C466, {20,30,40,50,60,70,80}, 1))
)</f>
        <v/>
      </c>
      <c r="P466" s="60"/>
      <c r="Q466" s="48" t="str">
        <f t="shared" si="28"/>
        <v/>
      </c>
      <c r="R466" s="60"/>
      <c r="S466" s="60"/>
      <c r="T466" s="48" t="str">
        <f t="shared" si="25"/>
        <v/>
      </c>
      <c r="U466" s="42" t="str" cm="1">
        <f t="array" ref="U466">_xlfn.IFS(OR(Q466="", T466="", Q466=0, "", T466=0), "", AND(T466&lt;=Q466,D466&lt;=Q466), "Y", OR(T466&gt;Q466,D466&gt;Q466), "N")</f>
        <v/>
      </c>
      <c r="V466" s="62"/>
      <c r="W466" s="63"/>
    </row>
    <row r="467" spans="1:23" x14ac:dyDescent="0.25">
      <c r="A467" s="58"/>
      <c r="B467" s="59"/>
      <c r="C467" s="59"/>
      <c r="D467" s="60"/>
      <c r="E467" s="59"/>
      <c r="F467" s="59"/>
      <c r="G467" s="60"/>
      <c r="H467" s="43" t="str" cm="1">
        <f t="array" ref="H467">IF(OR(F467="", G467=""), "",
  _xlfn.LET(
    _xlpm.rowIndex, MATCH(F467, INDEX(IncomeTable,,1), 0),
    _xlpm.thresholds, INDEX(IncomeTable, _xlpm.rowIndex, 2):INDEX(IncomeTable, _xlpm.rowIndex, 8),
    _xlpm.labels, {20,30,40,50,60,70,80},
    _xlpm.income, G467,
    IF(_xlpm.income &lt; INDEX(_xlpm.thresholds,1), "Below 20%",
      IF(_xlpm.income &gt; INDEX(_xlpm.thresholds,7), "Above 80%",
        INDEX(_xlpm.labels, _xlfn.XLOOKUP(_xlpm.income, _xlpm.thresholds, _xlfn.SEQUENCE(1,7), , -1))
      )
    )
  )
)</f>
        <v/>
      </c>
      <c r="I467" s="42" t="str">
        <f t="shared" si="27"/>
        <v/>
      </c>
      <c r="J467" s="61"/>
      <c r="K467" s="61"/>
      <c r="L467" s="61"/>
      <c r="M467" s="61"/>
      <c r="N467" s="47" t="str">
        <f t="shared" si="26"/>
        <v/>
      </c>
      <c r="O467" s="48" t="str">
        <f>IF(OR(C467="", B467=""), "",
  INDEX(RentTable, MATCH(B467, {0,1,2,3,4}, 0), MATCH(C467, {20,30,40,50,60,70,80}, 1))
)</f>
        <v/>
      </c>
      <c r="P467" s="60"/>
      <c r="Q467" s="48" t="str">
        <f t="shared" si="28"/>
        <v/>
      </c>
      <c r="R467" s="60"/>
      <c r="S467" s="60"/>
      <c r="T467" s="48" t="str">
        <f t="shared" si="25"/>
        <v/>
      </c>
      <c r="U467" s="42" t="str" cm="1">
        <f t="array" ref="U467">_xlfn.IFS(OR(Q467="", T467="", Q467=0, "", T467=0), "", AND(T467&lt;=Q467,D467&lt;=Q467), "Y", OR(T467&gt;Q467,D467&gt;Q467), "N")</f>
        <v/>
      </c>
      <c r="V467" s="62"/>
      <c r="W467" s="63"/>
    </row>
    <row r="468" spans="1:23" x14ac:dyDescent="0.25">
      <c r="A468" s="58"/>
      <c r="B468" s="59"/>
      <c r="C468" s="59"/>
      <c r="D468" s="60"/>
      <c r="E468" s="59"/>
      <c r="F468" s="59"/>
      <c r="G468" s="60"/>
      <c r="H468" s="43" t="str" cm="1">
        <f t="array" ref="H468">IF(OR(F468="", G468=""), "",
  _xlfn.LET(
    _xlpm.rowIndex, MATCH(F468, INDEX(IncomeTable,,1), 0),
    _xlpm.thresholds, INDEX(IncomeTable, _xlpm.rowIndex, 2):INDEX(IncomeTable, _xlpm.rowIndex, 8),
    _xlpm.labels, {20,30,40,50,60,70,80},
    _xlpm.income, G468,
    IF(_xlpm.income &lt; INDEX(_xlpm.thresholds,1), "Below 20%",
      IF(_xlpm.income &gt; INDEX(_xlpm.thresholds,7), "Above 80%",
        INDEX(_xlpm.labels, _xlfn.XLOOKUP(_xlpm.income, _xlpm.thresholds, _xlfn.SEQUENCE(1,7), , -1))
      )
    )
  )
)</f>
        <v/>
      </c>
      <c r="I468" s="42" t="str">
        <f t="shared" si="27"/>
        <v/>
      </c>
      <c r="J468" s="61"/>
      <c r="K468" s="61"/>
      <c r="L468" s="61"/>
      <c r="M468" s="61"/>
      <c r="N468" s="47" t="str">
        <f t="shared" si="26"/>
        <v/>
      </c>
      <c r="O468" s="48" t="str">
        <f>IF(OR(C468="", B468=""), "",
  INDEX(RentTable, MATCH(B468, {0,1,2,3,4}, 0), MATCH(C468, {20,30,40,50,60,70,80}, 1))
)</f>
        <v/>
      </c>
      <c r="P468" s="60"/>
      <c r="Q468" s="48" t="str">
        <f t="shared" si="28"/>
        <v/>
      </c>
      <c r="R468" s="60"/>
      <c r="S468" s="60"/>
      <c r="T468" s="48" t="str">
        <f t="shared" si="25"/>
        <v/>
      </c>
      <c r="U468" s="42" t="str" cm="1">
        <f t="array" ref="U468">_xlfn.IFS(OR(Q468="", T468="", Q468=0, "", T468=0), "", AND(T468&lt;=Q468,D468&lt;=Q468), "Y", OR(T468&gt;Q468,D468&gt;Q468), "N")</f>
        <v/>
      </c>
      <c r="V468" s="62"/>
      <c r="W468" s="63"/>
    </row>
    <row r="469" spans="1:23" x14ac:dyDescent="0.25">
      <c r="A469" s="58"/>
      <c r="B469" s="59"/>
      <c r="C469" s="59"/>
      <c r="D469" s="60"/>
      <c r="E469" s="59"/>
      <c r="F469" s="59"/>
      <c r="G469" s="60"/>
      <c r="H469" s="43" t="str" cm="1">
        <f t="array" ref="H469">IF(OR(F469="", G469=""), "",
  _xlfn.LET(
    _xlpm.rowIndex, MATCH(F469, INDEX(IncomeTable,,1), 0),
    _xlpm.thresholds, INDEX(IncomeTable, _xlpm.rowIndex, 2):INDEX(IncomeTable, _xlpm.rowIndex, 8),
    _xlpm.labels, {20,30,40,50,60,70,80},
    _xlpm.income, G469,
    IF(_xlpm.income &lt; INDEX(_xlpm.thresholds,1), "Below 20%",
      IF(_xlpm.income &gt; INDEX(_xlpm.thresholds,7), "Above 80%",
        INDEX(_xlpm.labels, _xlfn.XLOOKUP(_xlpm.income, _xlpm.thresholds, _xlfn.SEQUENCE(1,7), , -1))
      )
    )
  )
)</f>
        <v/>
      </c>
      <c r="I469" s="42" t="str">
        <f t="shared" si="27"/>
        <v/>
      </c>
      <c r="J469" s="61"/>
      <c r="K469" s="61"/>
      <c r="L469" s="61"/>
      <c r="M469" s="61"/>
      <c r="N469" s="47" t="str">
        <f t="shared" si="26"/>
        <v/>
      </c>
      <c r="O469" s="48" t="str">
        <f>IF(OR(C469="", B469=""), "",
  INDEX(RentTable, MATCH(B469, {0,1,2,3,4}, 0), MATCH(C469, {20,30,40,50,60,70,80}, 1))
)</f>
        <v/>
      </c>
      <c r="P469" s="60"/>
      <c r="Q469" s="48" t="str">
        <f t="shared" si="28"/>
        <v/>
      </c>
      <c r="R469" s="60"/>
      <c r="S469" s="60"/>
      <c r="T469" s="48" t="str">
        <f t="shared" si="25"/>
        <v/>
      </c>
      <c r="U469" s="42" t="str" cm="1">
        <f t="array" ref="U469">_xlfn.IFS(OR(Q469="", T469="", Q469=0, "", T469=0), "", AND(T469&lt;=Q469,D469&lt;=Q469), "Y", OR(T469&gt;Q469,D469&gt;Q469), "N")</f>
        <v/>
      </c>
      <c r="V469" s="62"/>
      <c r="W469" s="63"/>
    </row>
    <row r="470" spans="1:23" x14ac:dyDescent="0.25">
      <c r="A470" s="58"/>
      <c r="B470" s="59"/>
      <c r="C470" s="59"/>
      <c r="D470" s="60"/>
      <c r="E470" s="59"/>
      <c r="F470" s="59"/>
      <c r="G470" s="60"/>
      <c r="H470" s="43" t="str" cm="1">
        <f t="array" ref="H470">IF(OR(F470="", G470=""), "",
  _xlfn.LET(
    _xlpm.rowIndex, MATCH(F470, INDEX(IncomeTable,,1), 0),
    _xlpm.thresholds, INDEX(IncomeTable, _xlpm.rowIndex, 2):INDEX(IncomeTable, _xlpm.rowIndex, 8),
    _xlpm.labels, {20,30,40,50,60,70,80},
    _xlpm.income, G470,
    IF(_xlpm.income &lt; INDEX(_xlpm.thresholds,1), "Below 20%",
      IF(_xlpm.income &gt; INDEX(_xlpm.thresholds,7), "Above 80%",
        INDEX(_xlpm.labels, _xlfn.XLOOKUP(_xlpm.income, _xlpm.thresholds, _xlfn.SEQUENCE(1,7), , -1))
      )
    )
  )
)</f>
        <v/>
      </c>
      <c r="I470" s="42" t="str">
        <f t="shared" si="27"/>
        <v/>
      </c>
      <c r="J470" s="61"/>
      <c r="K470" s="61"/>
      <c r="L470" s="61"/>
      <c r="M470" s="61"/>
      <c r="N470" s="47" t="str">
        <f t="shared" si="26"/>
        <v/>
      </c>
      <c r="O470" s="48" t="str">
        <f>IF(OR(C470="", B470=""), "",
  INDEX(RentTable, MATCH(B470, {0,1,2,3,4}, 0), MATCH(C470, {20,30,40,50,60,70,80}, 1))
)</f>
        <v/>
      </c>
      <c r="P470" s="60"/>
      <c r="Q470" s="48" t="str">
        <f t="shared" si="28"/>
        <v/>
      </c>
      <c r="R470" s="60"/>
      <c r="S470" s="60"/>
      <c r="T470" s="48" t="str">
        <f t="shared" si="25"/>
        <v/>
      </c>
      <c r="U470" s="42" t="str" cm="1">
        <f t="array" ref="U470">_xlfn.IFS(OR(Q470="", T470="", Q470=0, "", T470=0), "", AND(T470&lt;=Q470,D470&lt;=Q470), "Y", OR(T470&gt;Q470,D470&gt;Q470), "N")</f>
        <v/>
      </c>
      <c r="V470" s="62"/>
      <c r="W470" s="63"/>
    </row>
    <row r="471" spans="1:23" x14ac:dyDescent="0.25">
      <c r="A471" s="58"/>
      <c r="B471" s="59"/>
      <c r="C471" s="59"/>
      <c r="D471" s="60"/>
      <c r="E471" s="59"/>
      <c r="F471" s="59"/>
      <c r="G471" s="60"/>
      <c r="H471" s="43" t="str" cm="1">
        <f t="array" ref="H471">IF(OR(F471="", G471=""), "",
  _xlfn.LET(
    _xlpm.rowIndex, MATCH(F471, INDEX(IncomeTable,,1), 0),
    _xlpm.thresholds, INDEX(IncomeTable, _xlpm.rowIndex, 2):INDEX(IncomeTable, _xlpm.rowIndex, 8),
    _xlpm.labels, {20,30,40,50,60,70,80},
    _xlpm.income, G471,
    IF(_xlpm.income &lt; INDEX(_xlpm.thresholds,1), "Below 20%",
      IF(_xlpm.income &gt; INDEX(_xlpm.thresholds,7), "Above 80%",
        INDEX(_xlpm.labels, _xlfn.XLOOKUP(_xlpm.income, _xlpm.thresholds, _xlfn.SEQUENCE(1,7), , -1))
      )
    )
  )
)</f>
        <v/>
      </c>
      <c r="I471" s="42" t="str">
        <f t="shared" si="27"/>
        <v/>
      </c>
      <c r="J471" s="61"/>
      <c r="K471" s="61"/>
      <c r="L471" s="61"/>
      <c r="M471" s="61"/>
      <c r="N471" s="47" t="str">
        <f t="shared" si="26"/>
        <v/>
      </c>
      <c r="O471" s="48" t="str">
        <f>IF(OR(C471="", B471=""), "",
  INDEX(RentTable, MATCH(B471, {0,1,2,3,4}, 0), MATCH(C471, {20,30,40,50,60,70,80}, 1))
)</f>
        <v/>
      </c>
      <c r="P471" s="60"/>
      <c r="Q471" s="48" t="str">
        <f t="shared" si="28"/>
        <v/>
      </c>
      <c r="R471" s="60"/>
      <c r="S471" s="60"/>
      <c r="T471" s="48" t="str">
        <f t="shared" ref="T471:T500" si="29">IF(OR(R471=""), "", R471 + S471)</f>
        <v/>
      </c>
      <c r="U471" s="42" t="str" cm="1">
        <f t="array" ref="U471">_xlfn.IFS(OR(Q471="", T471="", Q471=0, "", T471=0), "", AND(T471&lt;=Q471,D471&lt;=Q471), "Y", OR(T471&gt;Q471,D471&gt;Q471), "N")</f>
        <v/>
      </c>
      <c r="V471" s="62"/>
      <c r="W471" s="63"/>
    </row>
    <row r="472" spans="1:23" x14ac:dyDescent="0.25">
      <c r="A472" s="58"/>
      <c r="B472" s="59"/>
      <c r="C472" s="59"/>
      <c r="D472" s="60"/>
      <c r="E472" s="59"/>
      <c r="F472" s="59"/>
      <c r="G472" s="60"/>
      <c r="H472" s="43" t="str" cm="1">
        <f t="array" ref="H472">IF(OR(F472="", G472=""), "",
  _xlfn.LET(
    _xlpm.rowIndex, MATCH(F472, INDEX(IncomeTable,,1), 0),
    _xlpm.thresholds, INDEX(IncomeTable, _xlpm.rowIndex, 2):INDEX(IncomeTable, _xlpm.rowIndex, 8),
    _xlpm.labels, {20,30,40,50,60,70,80},
    _xlpm.income, G472,
    IF(_xlpm.income &lt; INDEX(_xlpm.thresholds,1), "Below 20%",
      IF(_xlpm.income &gt; INDEX(_xlpm.thresholds,7), "Above 80%",
        INDEX(_xlpm.labels, _xlfn.XLOOKUP(_xlpm.income, _xlpm.thresholds, _xlfn.SEQUENCE(1,7), , -1))
      )
    )
  )
)</f>
        <v/>
      </c>
      <c r="I472" s="42" t="str">
        <f t="shared" si="27"/>
        <v/>
      </c>
      <c r="J472" s="61"/>
      <c r="K472" s="61"/>
      <c r="L472" s="61"/>
      <c r="M472" s="61"/>
      <c r="N472" s="47" t="str">
        <f t="shared" ref="N472:N500" si="30">IF(OR(L472="", M472="", J472=""),"",
   IF(L472="Y",
   IF(M472&lt;J472, "Y", "N"),
   IF(M472&lt;=DATE(YEAR(J472),3,31), "Y", "N")
))</f>
        <v/>
      </c>
      <c r="O472" s="48" t="str">
        <f>IF(OR(C472="", B472=""), "",
  INDEX(RentTable, MATCH(B472, {0,1,2,3,4}, 0), MATCH(C472, {20,30,40,50,60,70,80}, 1))
)</f>
        <v/>
      </c>
      <c r="P472" s="60"/>
      <c r="Q472" s="48" t="str">
        <f t="shared" si="28"/>
        <v/>
      </c>
      <c r="R472" s="60"/>
      <c r="S472" s="60"/>
      <c r="T472" s="48" t="str">
        <f t="shared" si="29"/>
        <v/>
      </c>
      <c r="U472" s="42" t="str" cm="1">
        <f t="array" ref="U472">_xlfn.IFS(OR(Q472="", T472="", Q472=0, "", T472=0), "", AND(T472&lt;=Q472,D472&lt;=Q472), "Y", OR(T472&gt;Q472,D472&gt;Q472), "N")</f>
        <v/>
      </c>
      <c r="V472" s="62"/>
      <c r="W472" s="63"/>
    </row>
    <row r="473" spans="1:23" x14ac:dyDescent="0.25">
      <c r="A473" s="58"/>
      <c r="B473" s="59"/>
      <c r="C473" s="59"/>
      <c r="D473" s="60"/>
      <c r="E473" s="59"/>
      <c r="F473" s="59"/>
      <c r="G473" s="60"/>
      <c r="H473" s="43" t="str" cm="1">
        <f t="array" ref="H473">IF(OR(F473="", G473=""), "",
  _xlfn.LET(
    _xlpm.rowIndex, MATCH(F473, INDEX(IncomeTable,,1), 0),
    _xlpm.thresholds, INDEX(IncomeTable, _xlpm.rowIndex, 2):INDEX(IncomeTable, _xlpm.rowIndex, 8),
    _xlpm.labels, {20,30,40,50,60,70,80},
    _xlpm.income, G473,
    IF(_xlpm.income &lt; INDEX(_xlpm.thresholds,1), "Below 20%",
      IF(_xlpm.income &gt; INDEX(_xlpm.thresholds,7), "Above 80%",
        INDEX(_xlpm.labels, _xlfn.XLOOKUP(_xlpm.income, _xlpm.thresholds, _xlfn.SEQUENCE(1,7), , -1))
      )
    )
  )
)</f>
        <v/>
      </c>
      <c r="I473" s="42" t="str">
        <f t="shared" si="27"/>
        <v/>
      </c>
      <c r="J473" s="61"/>
      <c r="K473" s="61"/>
      <c r="L473" s="61"/>
      <c r="M473" s="61"/>
      <c r="N473" s="47" t="str">
        <f t="shared" si="30"/>
        <v/>
      </c>
      <c r="O473" s="48" t="str">
        <f>IF(OR(C473="", B473=""), "",
  INDEX(RentTable, MATCH(B473, {0,1,2,3,4}, 0), MATCH(C473, {20,30,40,50,60,70,80}, 1))
)</f>
        <v/>
      </c>
      <c r="P473" s="60"/>
      <c r="Q473" s="48" t="str">
        <f t="shared" si="28"/>
        <v/>
      </c>
      <c r="R473" s="60"/>
      <c r="S473" s="60"/>
      <c r="T473" s="48" t="str">
        <f t="shared" si="29"/>
        <v/>
      </c>
      <c r="U473" s="42" t="str" cm="1">
        <f t="array" ref="U473">_xlfn.IFS(OR(Q473="", T473="", Q473=0, "", T473=0), "", AND(T473&lt;=Q473,D473&lt;=Q473), "Y", OR(T473&gt;Q473,D473&gt;Q473), "N")</f>
        <v/>
      </c>
      <c r="V473" s="62"/>
      <c r="W473" s="63"/>
    </row>
    <row r="474" spans="1:23" x14ac:dyDescent="0.25">
      <c r="A474" s="58"/>
      <c r="B474" s="59"/>
      <c r="C474" s="59"/>
      <c r="D474" s="60"/>
      <c r="E474" s="59"/>
      <c r="F474" s="59"/>
      <c r="G474" s="60"/>
      <c r="H474" s="43" t="str" cm="1">
        <f t="array" ref="H474">IF(OR(F474="", G474=""), "",
  _xlfn.LET(
    _xlpm.rowIndex, MATCH(F474, INDEX(IncomeTable,,1), 0),
    _xlpm.thresholds, INDEX(IncomeTable, _xlpm.rowIndex, 2):INDEX(IncomeTable, _xlpm.rowIndex, 8),
    _xlpm.labels, {20,30,40,50,60,70,80},
    _xlpm.income, G474,
    IF(_xlpm.income &lt; INDEX(_xlpm.thresholds,1), "Below 20%",
      IF(_xlpm.income &gt; INDEX(_xlpm.thresholds,7), "Above 80%",
        INDEX(_xlpm.labels, _xlfn.XLOOKUP(_xlpm.income, _xlpm.thresholds, _xlfn.SEQUENCE(1,7), , -1))
      )
    )
  )
)</f>
        <v/>
      </c>
      <c r="I474" s="42" t="str">
        <f t="shared" ref="I474:I500" si="31">IF(AND(ISNUMBER(C474), ISNUMBER(H474)), IF(C474=H474, "Y", "N"), "")</f>
        <v/>
      </c>
      <c r="J474" s="61"/>
      <c r="K474" s="61"/>
      <c r="L474" s="61"/>
      <c r="M474" s="61"/>
      <c r="N474" s="47" t="str">
        <f t="shared" si="30"/>
        <v/>
      </c>
      <c r="O474" s="48" t="str">
        <f>IF(OR(C474="", B474=""), "",
  INDEX(RentTable, MATCH(B474, {0,1,2,3,4}, 0), MATCH(C474, {20,30,40,50,60,70,80}, 1))
)</f>
        <v/>
      </c>
      <c r="P474" s="60"/>
      <c r="Q474" s="48" t="str">
        <f t="shared" ref="Q474:Q500" si="32">IF(OR(O474="", ISBLANK(O474), O474=0), "", O474 - P474)</f>
        <v/>
      </c>
      <c r="R474" s="60"/>
      <c r="S474" s="60"/>
      <c r="T474" s="48" t="str">
        <f t="shared" si="29"/>
        <v/>
      </c>
      <c r="U474" s="42" t="str" cm="1">
        <f t="array" ref="U474">_xlfn.IFS(OR(Q474="", T474="", Q474=0, "", T474=0), "", AND(T474&lt;=Q474,D474&lt;=Q474), "Y", OR(T474&gt;Q474,D474&gt;Q474), "N")</f>
        <v/>
      </c>
      <c r="V474" s="62"/>
      <c r="W474" s="63"/>
    </row>
    <row r="475" spans="1:23" x14ac:dyDescent="0.25">
      <c r="A475" s="58"/>
      <c r="B475" s="59"/>
      <c r="C475" s="59"/>
      <c r="D475" s="60"/>
      <c r="E475" s="59"/>
      <c r="F475" s="59"/>
      <c r="G475" s="60"/>
      <c r="H475" s="43" t="str" cm="1">
        <f t="array" ref="H475">IF(OR(F475="", G475=""), "",
  _xlfn.LET(
    _xlpm.rowIndex, MATCH(F475, INDEX(IncomeTable,,1), 0),
    _xlpm.thresholds, INDEX(IncomeTable, _xlpm.rowIndex, 2):INDEX(IncomeTable, _xlpm.rowIndex, 8),
    _xlpm.labels, {20,30,40,50,60,70,80},
    _xlpm.income, G475,
    IF(_xlpm.income &lt; INDEX(_xlpm.thresholds,1), "Below 20%",
      IF(_xlpm.income &gt; INDEX(_xlpm.thresholds,7), "Above 80%",
        INDEX(_xlpm.labels, _xlfn.XLOOKUP(_xlpm.income, _xlpm.thresholds, _xlfn.SEQUENCE(1,7), , -1))
      )
    )
  )
)</f>
        <v/>
      </c>
      <c r="I475" s="42" t="str">
        <f t="shared" si="31"/>
        <v/>
      </c>
      <c r="J475" s="61"/>
      <c r="K475" s="61"/>
      <c r="L475" s="61"/>
      <c r="M475" s="61"/>
      <c r="N475" s="47" t="str">
        <f t="shared" si="30"/>
        <v/>
      </c>
      <c r="O475" s="48" t="str">
        <f>IF(OR(C475="", B475=""), "",
  INDEX(RentTable, MATCH(B475, {0,1,2,3,4}, 0), MATCH(C475, {20,30,40,50,60,70,80}, 1))
)</f>
        <v/>
      </c>
      <c r="P475" s="60"/>
      <c r="Q475" s="48" t="str">
        <f t="shared" si="32"/>
        <v/>
      </c>
      <c r="R475" s="60"/>
      <c r="S475" s="60"/>
      <c r="T475" s="48" t="str">
        <f t="shared" si="29"/>
        <v/>
      </c>
      <c r="U475" s="42" t="str" cm="1">
        <f t="array" ref="U475">_xlfn.IFS(OR(Q475="", T475="", Q475=0, "", T475=0), "", AND(T475&lt;=Q475,D475&lt;=Q475), "Y", OR(T475&gt;Q475,D475&gt;Q475), "N")</f>
        <v/>
      </c>
      <c r="V475" s="62"/>
      <c r="W475" s="63"/>
    </row>
    <row r="476" spans="1:23" x14ac:dyDescent="0.25">
      <c r="A476" s="58"/>
      <c r="B476" s="59"/>
      <c r="C476" s="59"/>
      <c r="D476" s="60"/>
      <c r="E476" s="59"/>
      <c r="F476" s="59"/>
      <c r="G476" s="60"/>
      <c r="H476" s="43" t="str" cm="1">
        <f t="array" ref="H476">IF(OR(F476="", G476=""), "",
  _xlfn.LET(
    _xlpm.rowIndex, MATCH(F476, INDEX(IncomeTable,,1), 0),
    _xlpm.thresholds, INDEX(IncomeTable, _xlpm.rowIndex, 2):INDEX(IncomeTable, _xlpm.rowIndex, 8),
    _xlpm.labels, {20,30,40,50,60,70,80},
    _xlpm.income, G476,
    IF(_xlpm.income &lt; INDEX(_xlpm.thresholds,1), "Below 20%",
      IF(_xlpm.income &gt; INDEX(_xlpm.thresholds,7), "Above 80%",
        INDEX(_xlpm.labels, _xlfn.XLOOKUP(_xlpm.income, _xlpm.thresholds, _xlfn.SEQUENCE(1,7), , -1))
      )
    )
  )
)</f>
        <v/>
      </c>
      <c r="I476" s="42" t="str">
        <f t="shared" si="31"/>
        <v/>
      </c>
      <c r="J476" s="61"/>
      <c r="K476" s="61"/>
      <c r="L476" s="61"/>
      <c r="M476" s="61"/>
      <c r="N476" s="47" t="str">
        <f t="shared" si="30"/>
        <v/>
      </c>
      <c r="O476" s="48" t="str">
        <f>IF(OR(C476="", B476=""), "",
  INDEX(RentTable, MATCH(B476, {0,1,2,3,4}, 0), MATCH(C476, {20,30,40,50,60,70,80}, 1))
)</f>
        <v/>
      </c>
      <c r="P476" s="60"/>
      <c r="Q476" s="48" t="str">
        <f t="shared" si="32"/>
        <v/>
      </c>
      <c r="R476" s="60"/>
      <c r="S476" s="60"/>
      <c r="T476" s="48" t="str">
        <f t="shared" si="29"/>
        <v/>
      </c>
      <c r="U476" s="42" t="str" cm="1">
        <f t="array" ref="U476">_xlfn.IFS(OR(Q476="", T476="", Q476=0, "", T476=0), "", AND(T476&lt;=Q476,D476&lt;=Q476), "Y", OR(T476&gt;Q476,D476&gt;Q476), "N")</f>
        <v/>
      </c>
      <c r="V476" s="62"/>
      <c r="W476" s="63"/>
    </row>
    <row r="477" spans="1:23" x14ac:dyDescent="0.25">
      <c r="A477" s="58"/>
      <c r="B477" s="59"/>
      <c r="C477" s="59"/>
      <c r="D477" s="60"/>
      <c r="E477" s="59"/>
      <c r="F477" s="59"/>
      <c r="G477" s="60"/>
      <c r="H477" s="43" t="str" cm="1">
        <f t="array" ref="H477">IF(OR(F477="", G477=""), "",
  _xlfn.LET(
    _xlpm.rowIndex, MATCH(F477, INDEX(IncomeTable,,1), 0),
    _xlpm.thresholds, INDEX(IncomeTable, _xlpm.rowIndex, 2):INDEX(IncomeTable, _xlpm.rowIndex, 8),
    _xlpm.labels, {20,30,40,50,60,70,80},
    _xlpm.income, G477,
    IF(_xlpm.income &lt; INDEX(_xlpm.thresholds,1), "Below 20%",
      IF(_xlpm.income &gt; INDEX(_xlpm.thresholds,7), "Above 80%",
        INDEX(_xlpm.labels, _xlfn.XLOOKUP(_xlpm.income, _xlpm.thresholds, _xlfn.SEQUENCE(1,7), , -1))
      )
    )
  )
)</f>
        <v/>
      </c>
      <c r="I477" s="42" t="str">
        <f t="shared" si="31"/>
        <v/>
      </c>
      <c r="J477" s="61"/>
      <c r="K477" s="61"/>
      <c r="L477" s="61"/>
      <c r="M477" s="61"/>
      <c r="N477" s="47" t="str">
        <f t="shared" si="30"/>
        <v/>
      </c>
      <c r="O477" s="48" t="str">
        <f>IF(OR(C477="", B477=""), "",
  INDEX(RentTable, MATCH(B477, {0,1,2,3,4}, 0), MATCH(C477, {20,30,40,50,60,70,80}, 1))
)</f>
        <v/>
      </c>
      <c r="P477" s="60"/>
      <c r="Q477" s="48" t="str">
        <f t="shared" si="32"/>
        <v/>
      </c>
      <c r="R477" s="60"/>
      <c r="S477" s="60"/>
      <c r="T477" s="48" t="str">
        <f t="shared" si="29"/>
        <v/>
      </c>
      <c r="U477" s="42" t="str" cm="1">
        <f t="array" ref="U477">_xlfn.IFS(OR(Q477="", T477="", Q477=0, "", T477=0), "", AND(T477&lt;=Q477,D477&lt;=Q477), "Y", OR(T477&gt;Q477,D477&gt;Q477), "N")</f>
        <v/>
      </c>
      <c r="V477" s="62"/>
      <c r="W477" s="63"/>
    </row>
    <row r="478" spans="1:23" x14ac:dyDescent="0.25">
      <c r="A478" s="58"/>
      <c r="B478" s="59"/>
      <c r="C478" s="59"/>
      <c r="D478" s="60"/>
      <c r="E478" s="59"/>
      <c r="F478" s="59"/>
      <c r="G478" s="60"/>
      <c r="H478" s="43" t="str" cm="1">
        <f t="array" ref="H478">IF(OR(F478="", G478=""), "",
  _xlfn.LET(
    _xlpm.rowIndex, MATCH(F478, INDEX(IncomeTable,,1), 0),
    _xlpm.thresholds, INDEX(IncomeTable, _xlpm.rowIndex, 2):INDEX(IncomeTable, _xlpm.rowIndex, 8),
    _xlpm.labels, {20,30,40,50,60,70,80},
    _xlpm.income, G478,
    IF(_xlpm.income &lt; INDEX(_xlpm.thresholds,1), "Below 20%",
      IF(_xlpm.income &gt; INDEX(_xlpm.thresholds,7), "Above 80%",
        INDEX(_xlpm.labels, _xlfn.XLOOKUP(_xlpm.income, _xlpm.thresholds, _xlfn.SEQUENCE(1,7), , -1))
      )
    )
  )
)</f>
        <v/>
      </c>
      <c r="I478" s="42" t="str">
        <f t="shared" si="31"/>
        <v/>
      </c>
      <c r="J478" s="61"/>
      <c r="K478" s="61"/>
      <c r="L478" s="61"/>
      <c r="M478" s="61"/>
      <c r="N478" s="47" t="str">
        <f t="shared" si="30"/>
        <v/>
      </c>
      <c r="O478" s="48" t="str">
        <f>IF(OR(C478="", B478=""), "",
  INDEX(RentTable, MATCH(B478, {0,1,2,3,4}, 0), MATCH(C478, {20,30,40,50,60,70,80}, 1))
)</f>
        <v/>
      </c>
      <c r="P478" s="60"/>
      <c r="Q478" s="48" t="str">
        <f t="shared" si="32"/>
        <v/>
      </c>
      <c r="R478" s="60"/>
      <c r="S478" s="60"/>
      <c r="T478" s="48" t="str">
        <f t="shared" si="29"/>
        <v/>
      </c>
      <c r="U478" s="42" t="str" cm="1">
        <f t="array" ref="U478">_xlfn.IFS(OR(Q478="", T478="", Q478=0, "", T478=0), "", AND(T478&lt;=Q478,D478&lt;=Q478), "Y", OR(T478&gt;Q478,D478&gt;Q478), "N")</f>
        <v/>
      </c>
      <c r="V478" s="62"/>
      <c r="W478" s="63"/>
    </row>
    <row r="479" spans="1:23" x14ac:dyDescent="0.25">
      <c r="A479" s="58"/>
      <c r="B479" s="59"/>
      <c r="C479" s="59"/>
      <c r="D479" s="60"/>
      <c r="E479" s="59"/>
      <c r="F479" s="59"/>
      <c r="G479" s="60"/>
      <c r="H479" s="43" t="str" cm="1">
        <f t="array" ref="H479">IF(OR(F479="", G479=""), "",
  _xlfn.LET(
    _xlpm.rowIndex, MATCH(F479, INDEX(IncomeTable,,1), 0),
    _xlpm.thresholds, INDEX(IncomeTable, _xlpm.rowIndex, 2):INDEX(IncomeTable, _xlpm.rowIndex, 8),
    _xlpm.labels, {20,30,40,50,60,70,80},
    _xlpm.income, G479,
    IF(_xlpm.income &lt; INDEX(_xlpm.thresholds,1), "Below 20%",
      IF(_xlpm.income &gt; INDEX(_xlpm.thresholds,7), "Above 80%",
        INDEX(_xlpm.labels, _xlfn.XLOOKUP(_xlpm.income, _xlpm.thresholds, _xlfn.SEQUENCE(1,7), , -1))
      )
    )
  )
)</f>
        <v/>
      </c>
      <c r="I479" s="42" t="str">
        <f t="shared" si="31"/>
        <v/>
      </c>
      <c r="J479" s="61"/>
      <c r="K479" s="61"/>
      <c r="L479" s="61"/>
      <c r="M479" s="61"/>
      <c r="N479" s="47" t="str">
        <f t="shared" si="30"/>
        <v/>
      </c>
      <c r="O479" s="48" t="str">
        <f>IF(OR(C479="", B479=""), "",
  INDEX(RentTable, MATCH(B479, {0,1,2,3,4}, 0), MATCH(C479, {20,30,40,50,60,70,80}, 1))
)</f>
        <v/>
      </c>
      <c r="P479" s="60"/>
      <c r="Q479" s="48" t="str">
        <f t="shared" si="32"/>
        <v/>
      </c>
      <c r="R479" s="60"/>
      <c r="S479" s="60"/>
      <c r="T479" s="48" t="str">
        <f t="shared" si="29"/>
        <v/>
      </c>
      <c r="U479" s="42" t="str" cm="1">
        <f t="array" ref="U479">_xlfn.IFS(OR(Q479="", T479="", Q479=0, "", T479=0), "", AND(T479&lt;=Q479,D479&lt;=Q479), "Y", OR(T479&gt;Q479,D479&gt;Q479), "N")</f>
        <v/>
      </c>
      <c r="V479" s="62"/>
      <c r="W479" s="63"/>
    </row>
    <row r="480" spans="1:23" x14ac:dyDescent="0.25">
      <c r="A480" s="58"/>
      <c r="B480" s="59"/>
      <c r="C480" s="59"/>
      <c r="D480" s="60"/>
      <c r="E480" s="59"/>
      <c r="F480" s="59"/>
      <c r="G480" s="60"/>
      <c r="H480" s="43" t="str" cm="1">
        <f t="array" ref="H480">IF(OR(F480="", G480=""), "",
  _xlfn.LET(
    _xlpm.rowIndex, MATCH(F480, INDEX(IncomeTable,,1), 0),
    _xlpm.thresholds, INDEX(IncomeTable, _xlpm.rowIndex, 2):INDEX(IncomeTable, _xlpm.rowIndex, 8),
    _xlpm.labels, {20,30,40,50,60,70,80},
    _xlpm.income, G480,
    IF(_xlpm.income &lt; INDEX(_xlpm.thresholds,1), "Below 20%",
      IF(_xlpm.income &gt; INDEX(_xlpm.thresholds,7), "Above 80%",
        INDEX(_xlpm.labels, _xlfn.XLOOKUP(_xlpm.income, _xlpm.thresholds, _xlfn.SEQUENCE(1,7), , -1))
      )
    )
  )
)</f>
        <v/>
      </c>
      <c r="I480" s="42" t="str">
        <f t="shared" si="31"/>
        <v/>
      </c>
      <c r="J480" s="61"/>
      <c r="K480" s="61"/>
      <c r="L480" s="61"/>
      <c r="M480" s="61"/>
      <c r="N480" s="47" t="str">
        <f t="shared" si="30"/>
        <v/>
      </c>
      <c r="O480" s="48" t="str">
        <f>IF(OR(C480="", B480=""), "",
  INDEX(RentTable, MATCH(B480, {0,1,2,3,4}, 0), MATCH(C480, {20,30,40,50,60,70,80}, 1))
)</f>
        <v/>
      </c>
      <c r="P480" s="60"/>
      <c r="Q480" s="48" t="str">
        <f t="shared" si="32"/>
        <v/>
      </c>
      <c r="R480" s="60"/>
      <c r="S480" s="60"/>
      <c r="T480" s="48" t="str">
        <f t="shared" si="29"/>
        <v/>
      </c>
      <c r="U480" s="42" t="str" cm="1">
        <f t="array" ref="U480">_xlfn.IFS(OR(Q480="", T480="", Q480=0, "", T480=0), "", AND(T480&lt;=Q480,D480&lt;=Q480), "Y", OR(T480&gt;Q480,D480&gt;Q480), "N")</f>
        <v/>
      </c>
      <c r="V480" s="62"/>
      <c r="W480" s="63"/>
    </row>
    <row r="481" spans="1:23" x14ac:dyDescent="0.25">
      <c r="A481" s="58"/>
      <c r="B481" s="59"/>
      <c r="C481" s="59"/>
      <c r="D481" s="60"/>
      <c r="E481" s="59"/>
      <c r="F481" s="59"/>
      <c r="G481" s="60"/>
      <c r="H481" s="43" t="str" cm="1">
        <f t="array" ref="H481">IF(OR(F481="", G481=""), "",
  _xlfn.LET(
    _xlpm.rowIndex, MATCH(F481, INDEX(IncomeTable,,1), 0),
    _xlpm.thresholds, INDEX(IncomeTable, _xlpm.rowIndex, 2):INDEX(IncomeTable, _xlpm.rowIndex, 8),
    _xlpm.labels, {20,30,40,50,60,70,80},
    _xlpm.income, G481,
    IF(_xlpm.income &lt; INDEX(_xlpm.thresholds,1), "Below 20%",
      IF(_xlpm.income &gt; INDEX(_xlpm.thresholds,7), "Above 80%",
        INDEX(_xlpm.labels, _xlfn.XLOOKUP(_xlpm.income, _xlpm.thresholds, _xlfn.SEQUENCE(1,7), , -1))
      )
    )
  )
)</f>
        <v/>
      </c>
      <c r="I481" s="42" t="str">
        <f t="shared" si="31"/>
        <v/>
      </c>
      <c r="J481" s="61"/>
      <c r="K481" s="61"/>
      <c r="L481" s="61"/>
      <c r="M481" s="61"/>
      <c r="N481" s="47" t="str">
        <f t="shared" si="30"/>
        <v/>
      </c>
      <c r="O481" s="48" t="str">
        <f>IF(OR(C481="", B481=""), "",
  INDEX(RentTable, MATCH(B481, {0,1,2,3,4}, 0), MATCH(C481, {20,30,40,50,60,70,80}, 1))
)</f>
        <v/>
      </c>
      <c r="P481" s="60"/>
      <c r="Q481" s="48" t="str">
        <f t="shared" si="32"/>
        <v/>
      </c>
      <c r="R481" s="60"/>
      <c r="S481" s="60"/>
      <c r="T481" s="48" t="str">
        <f t="shared" si="29"/>
        <v/>
      </c>
      <c r="U481" s="42" t="str" cm="1">
        <f t="array" ref="U481">_xlfn.IFS(OR(Q481="", T481="", Q481=0, "", T481=0), "", AND(T481&lt;=Q481,D481&lt;=Q481), "Y", OR(T481&gt;Q481,D481&gt;Q481), "N")</f>
        <v/>
      </c>
      <c r="V481" s="62"/>
      <c r="W481" s="63"/>
    </row>
    <row r="482" spans="1:23" x14ac:dyDescent="0.25">
      <c r="A482" s="58"/>
      <c r="B482" s="59"/>
      <c r="C482" s="59"/>
      <c r="D482" s="60"/>
      <c r="E482" s="59"/>
      <c r="F482" s="59"/>
      <c r="G482" s="60"/>
      <c r="H482" s="43" t="str" cm="1">
        <f t="array" ref="H482">IF(OR(F482="", G482=""), "",
  _xlfn.LET(
    _xlpm.rowIndex, MATCH(F482, INDEX(IncomeTable,,1), 0),
    _xlpm.thresholds, INDEX(IncomeTable, _xlpm.rowIndex, 2):INDEX(IncomeTable, _xlpm.rowIndex, 8),
    _xlpm.labels, {20,30,40,50,60,70,80},
    _xlpm.income, G482,
    IF(_xlpm.income &lt; INDEX(_xlpm.thresholds,1), "Below 20%",
      IF(_xlpm.income &gt; INDEX(_xlpm.thresholds,7), "Above 80%",
        INDEX(_xlpm.labels, _xlfn.XLOOKUP(_xlpm.income, _xlpm.thresholds, _xlfn.SEQUENCE(1,7), , -1))
      )
    )
  )
)</f>
        <v/>
      </c>
      <c r="I482" s="42" t="str">
        <f t="shared" si="31"/>
        <v/>
      </c>
      <c r="J482" s="61"/>
      <c r="K482" s="61"/>
      <c r="L482" s="61"/>
      <c r="M482" s="61"/>
      <c r="N482" s="47" t="str">
        <f t="shared" si="30"/>
        <v/>
      </c>
      <c r="O482" s="48" t="str">
        <f>IF(OR(C482="", B482=""), "",
  INDEX(RentTable, MATCH(B482, {0,1,2,3,4}, 0), MATCH(C482, {20,30,40,50,60,70,80}, 1))
)</f>
        <v/>
      </c>
      <c r="P482" s="60"/>
      <c r="Q482" s="48" t="str">
        <f t="shared" si="32"/>
        <v/>
      </c>
      <c r="R482" s="60"/>
      <c r="S482" s="60"/>
      <c r="T482" s="48" t="str">
        <f t="shared" si="29"/>
        <v/>
      </c>
      <c r="U482" s="42" t="str" cm="1">
        <f t="array" ref="U482">_xlfn.IFS(OR(Q482="", T482="", Q482=0, "", T482=0), "", AND(T482&lt;=Q482,D482&lt;=Q482), "Y", OR(T482&gt;Q482,D482&gt;Q482), "N")</f>
        <v/>
      </c>
      <c r="V482" s="62"/>
      <c r="W482" s="63"/>
    </row>
    <row r="483" spans="1:23" x14ac:dyDescent="0.25">
      <c r="A483" s="58"/>
      <c r="B483" s="59"/>
      <c r="C483" s="59"/>
      <c r="D483" s="60"/>
      <c r="E483" s="59"/>
      <c r="F483" s="59"/>
      <c r="G483" s="60"/>
      <c r="H483" s="43" t="str" cm="1">
        <f t="array" ref="H483">IF(OR(F483="", G483=""), "",
  _xlfn.LET(
    _xlpm.rowIndex, MATCH(F483, INDEX(IncomeTable,,1), 0),
    _xlpm.thresholds, INDEX(IncomeTable, _xlpm.rowIndex, 2):INDEX(IncomeTable, _xlpm.rowIndex, 8),
    _xlpm.labels, {20,30,40,50,60,70,80},
    _xlpm.income, G483,
    IF(_xlpm.income &lt; INDEX(_xlpm.thresholds,1), "Below 20%",
      IF(_xlpm.income &gt; INDEX(_xlpm.thresholds,7), "Above 80%",
        INDEX(_xlpm.labels, _xlfn.XLOOKUP(_xlpm.income, _xlpm.thresholds, _xlfn.SEQUENCE(1,7), , -1))
      )
    )
  )
)</f>
        <v/>
      </c>
      <c r="I483" s="42" t="str">
        <f t="shared" si="31"/>
        <v/>
      </c>
      <c r="J483" s="61"/>
      <c r="K483" s="61"/>
      <c r="L483" s="61"/>
      <c r="M483" s="61"/>
      <c r="N483" s="47" t="str">
        <f t="shared" si="30"/>
        <v/>
      </c>
      <c r="O483" s="48" t="str">
        <f>IF(OR(C483="", B483=""), "",
  INDEX(RentTable, MATCH(B483, {0,1,2,3,4}, 0), MATCH(C483, {20,30,40,50,60,70,80}, 1))
)</f>
        <v/>
      </c>
      <c r="P483" s="60"/>
      <c r="Q483" s="48" t="str">
        <f t="shared" si="32"/>
        <v/>
      </c>
      <c r="R483" s="60"/>
      <c r="S483" s="60"/>
      <c r="T483" s="48" t="str">
        <f t="shared" si="29"/>
        <v/>
      </c>
      <c r="U483" s="42" t="str" cm="1">
        <f t="array" ref="U483">_xlfn.IFS(OR(Q483="", T483="", Q483=0, "", T483=0), "", AND(T483&lt;=Q483,D483&lt;=Q483), "Y", OR(T483&gt;Q483,D483&gt;Q483), "N")</f>
        <v/>
      </c>
      <c r="V483" s="62"/>
      <c r="W483" s="63"/>
    </row>
    <row r="484" spans="1:23" x14ac:dyDescent="0.25">
      <c r="A484" s="58"/>
      <c r="B484" s="59"/>
      <c r="C484" s="59"/>
      <c r="D484" s="60"/>
      <c r="E484" s="59"/>
      <c r="F484" s="59"/>
      <c r="G484" s="60"/>
      <c r="H484" s="43" t="str" cm="1">
        <f t="array" ref="H484">IF(OR(F484="", G484=""), "",
  _xlfn.LET(
    _xlpm.rowIndex, MATCH(F484, INDEX(IncomeTable,,1), 0),
    _xlpm.thresholds, INDEX(IncomeTable, _xlpm.rowIndex, 2):INDEX(IncomeTable, _xlpm.rowIndex, 8),
    _xlpm.labels, {20,30,40,50,60,70,80},
    _xlpm.income, G484,
    IF(_xlpm.income &lt; INDEX(_xlpm.thresholds,1), "Below 20%",
      IF(_xlpm.income &gt; INDEX(_xlpm.thresholds,7), "Above 80%",
        INDEX(_xlpm.labels, _xlfn.XLOOKUP(_xlpm.income, _xlpm.thresholds, _xlfn.SEQUENCE(1,7), , -1))
      )
    )
  )
)</f>
        <v/>
      </c>
      <c r="I484" s="42" t="str">
        <f t="shared" si="31"/>
        <v/>
      </c>
      <c r="J484" s="61"/>
      <c r="K484" s="61"/>
      <c r="L484" s="61"/>
      <c r="M484" s="61"/>
      <c r="N484" s="47" t="str">
        <f t="shared" si="30"/>
        <v/>
      </c>
      <c r="O484" s="48" t="str">
        <f>IF(OR(C484="", B484=""), "",
  INDEX(RentTable, MATCH(B484, {0,1,2,3,4}, 0), MATCH(C484, {20,30,40,50,60,70,80}, 1))
)</f>
        <v/>
      </c>
      <c r="P484" s="60"/>
      <c r="Q484" s="48" t="str">
        <f t="shared" si="32"/>
        <v/>
      </c>
      <c r="R484" s="60"/>
      <c r="S484" s="60"/>
      <c r="T484" s="48" t="str">
        <f t="shared" si="29"/>
        <v/>
      </c>
      <c r="U484" s="42" t="str" cm="1">
        <f t="array" ref="U484">_xlfn.IFS(OR(Q484="", T484="", Q484=0, "", T484=0), "", AND(T484&lt;=Q484,D484&lt;=Q484), "Y", OR(T484&gt;Q484,D484&gt;Q484), "N")</f>
        <v/>
      </c>
      <c r="V484" s="62"/>
      <c r="W484" s="63"/>
    </row>
    <row r="485" spans="1:23" x14ac:dyDescent="0.25">
      <c r="A485" s="58"/>
      <c r="B485" s="59"/>
      <c r="C485" s="59"/>
      <c r="D485" s="60"/>
      <c r="E485" s="59"/>
      <c r="F485" s="59"/>
      <c r="G485" s="60"/>
      <c r="H485" s="43" t="str" cm="1">
        <f t="array" ref="H485">IF(OR(F485="", G485=""), "",
  _xlfn.LET(
    _xlpm.rowIndex, MATCH(F485, INDEX(IncomeTable,,1), 0),
    _xlpm.thresholds, INDEX(IncomeTable, _xlpm.rowIndex, 2):INDEX(IncomeTable, _xlpm.rowIndex, 8),
    _xlpm.labels, {20,30,40,50,60,70,80},
    _xlpm.income, G485,
    IF(_xlpm.income &lt; INDEX(_xlpm.thresholds,1), "Below 20%",
      IF(_xlpm.income &gt; INDEX(_xlpm.thresholds,7), "Above 80%",
        INDEX(_xlpm.labels, _xlfn.XLOOKUP(_xlpm.income, _xlpm.thresholds, _xlfn.SEQUENCE(1,7), , -1))
      )
    )
  )
)</f>
        <v/>
      </c>
      <c r="I485" s="42" t="str">
        <f t="shared" si="31"/>
        <v/>
      </c>
      <c r="J485" s="61"/>
      <c r="K485" s="61"/>
      <c r="L485" s="61"/>
      <c r="M485" s="61"/>
      <c r="N485" s="47" t="str">
        <f t="shared" si="30"/>
        <v/>
      </c>
      <c r="O485" s="48" t="str">
        <f>IF(OR(C485="", B485=""), "",
  INDEX(RentTable, MATCH(B485, {0,1,2,3,4}, 0), MATCH(C485, {20,30,40,50,60,70,80}, 1))
)</f>
        <v/>
      </c>
      <c r="P485" s="60"/>
      <c r="Q485" s="48" t="str">
        <f t="shared" si="32"/>
        <v/>
      </c>
      <c r="R485" s="60"/>
      <c r="S485" s="60"/>
      <c r="T485" s="48" t="str">
        <f t="shared" si="29"/>
        <v/>
      </c>
      <c r="U485" s="42" t="str" cm="1">
        <f t="array" ref="U485">_xlfn.IFS(OR(Q485="", T485="", Q485=0, "", T485=0), "", AND(T485&lt;=Q485,D485&lt;=Q485), "Y", OR(T485&gt;Q485,D485&gt;Q485), "N")</f>
        <v/>
      </c>
      <c r="V485" s="62"/>
      <c r="W485" s="63"/>
    </row>
    <row r="486" spans="1:23" x14ac:dyDescent="0.25">
      <c r="A486" s="58"/>
      <c r="B486" s="59"/>
      <c r="C486" s="59"/>
      <c r="D486" s="60"/>
      <c r="E486" s="59"/>
      <c r="F486" s="59"/>
      <c r="G486" s="60"/>
      <c r="H486" s="43" t="str" cm="1">
        <f t="array" ref="H486">IF(OR(F486="", G486=""), "",
  _xlfn.LET(
    _xlpm.rowIndex, MATCH(F486, INDEX(IncomeTable,,1), 0),
    _xlpm.thresholds, INDEX(IncomeTable, _xlpm.rowIndex, 2):INDEX(IncomeTable, _xlpm.rowIndex, 8),
    _xlpm.labels, {20,30,40,50,60,70,80},
    _xlpm.income, G486,
    IF(_xlpm.income &lt; INDEX(_xlpm.thresholds,1), "Below 20%",
      IF(_xlpm.income &gt; INDEX(_xlpm.thresholds,7), "Above 80%",
        INDEX(_xlpm.labels, _xlfn.XLOOKUP(_xlpm.income, _xlpm.thresholds, _xlfn.SEQUENCE(1,7), , -1))
      )
    )
  )
)</f>
        <v/>
      </c>
      <c r="I486" s="42" t="str">
        <f t="shared" si="31"/>
        <v/>
      </c>
      <c r="J486" s="61"/>
      <c r="K486" s="61"/>
      <c r="L486" s="61"/>
      <c r="M486" s="61"/>
      <c r="N486" s="47" t="str">
        <f t="shared" si="30"/>
        <v/>
      </c>
      <c r="O486" s="48" t="str">
        <f>IF(OR(C486="", B486=""), "",
  INDEX(RentTable, MATCH(B486, {0,1,2,3,4}, 0), MATCH(C486, {20,30,40,50,60,70,80}, 1))
)</f>
        <v/>
      </c>
      <c r="P486" s="60"/>
      <c r="Q486" s="48" t="str">
        <f t="shared" si="32"/>
        <v/>
      </c>
      <c r="R486" s="60"/>
      <c r="S486" s="60"/>
      <c r="T486" s="48" t="str">
        <f t="shared" si="29"/>
        <v/>
      </c>
      <c r="U486" s="42" t="str" cm="1">
        <f t="array" ref="U486">_xlfn.IFS(OR(Q486="", T486="", Q486=0, "", T486=0), "", AND(T486&lt;=Q486,D486&lt;=Q486), "Y", OR(T486&gt;Q486,D486&gt;Q486), "N")</f>
        <v/>
      </c>
      <c r="V486" s="62"/>
      <c r="W486" s="63"/>
    </row>
    <row r="487" spans="1:23" x14ac:dyDescent="0.25">
      <c r="A487" s="58"/>
      <c r="B487" s="59"/>
      <c r="C487" s="59"/>
      <c r="D487" s="60"/>
      <c r="E487" s="59"/>
      <c r="F487" s="59"/>
      <c r="G487" s="60"/>
      <c r="H487" s="43" t="str" cm="1">
        <f t="array" ref="H487">IF(OR(F487="", G487=""), "",
  _xlfn.LET(
    _xlpm.rowIndex, MATCH(F487, INDEX(IncomeTable,,1), 0),
    _xlpm.thresholds, INDEX(IncomeTable, _xlpm.rowIndex, 2):INDEX(IncomeTable, _xlpm.rowIndex, 8),
    _xlpm.labels, {20,30,40,50,60,70,80},
    _xlpm.income, G487,
    IF(_xlpm.income &lt; INDEX(_xlpm.thresholds,1), "Below 20%",
      IF(_xlpm.income &gt; INDEX(_xlpm.thresholds,7), "Above 80%",
        INDEX(_xlpm.labels, _xlfn.XLOOKUP(_xlpm.income, _xlpm.thresholds, _xlfn.SEQUENCE(1,7), , -1))
      )
    )
  )
)</f>
        <v/>
      </c>
      <c r="I487" s="42" t="str">
        <f t="shared" si="31"/>
        <v/>
      </c>
      <c r="J487" s="61"/>
      <c r="K487" s="61"/>
      <c r="L487" s="61"/>
      <c r="M487" s="61"/>
      <c r="N487" s="47" t="str">
        <f t="shared" si="30"/>
        <v/>
      </c>
      <c r="O487" s="48" t="str">
        <f>IF(OR(C487="", B487=""), "",
  INDEX(RentTable, MATCH(B487, {0,1,2,3,4}, 0), MATCH(C487, {20,30,40,50,60,70,80}, 1))
)</f>
        <v/>
      </c>
      <c r="P487" s="60"/>
      <c r="Q487" s="48" t="str">
        <f t="shared" si="32"/>
        <v/>
      </c>
      <c r="R487" s="60"/>
      <c r="S487" s="60"/>
      <c r="T487" s="48" t="str">
        <f t="shared" si="29"/>
        <v/>
      </c>
      <c r="U487" s="42" t="str" cm="1">
        <f t="array" ref="U487">_xlfn.IFS(OR(Q487="", T487="", Q487=0, "", T487=0), "", AND(T487&lt;=Q487,D487&lt;=Q487), "Y", OR(T487&gt;Q487,D487&gt;Q487), "N")</f>
        <v/>
      </c>
      <c r="V487" s="62"/>
      <c r="W487" s="63"/>
    </row>
    <row r="488" spans="1:23" x14ac:dyDescent="0.25">
      <c r="A488" s="58"/>
      <c r="B488" s="59"/>
      <c r="C488" s="59"/>
      <c r="D488" s="60"/>
      <c r="E488" s="59"/>
      <c r="F488" s="59"/>
      <c r="G488" s="60"/>
      <c r="H488" s="43" t="str" cm="1">
        <f t="array" ref="H488">IF(OR(F488="", G488=""), "",
  _xlfn.LET(
    _xlpm.rowIndex, MATCH(F488, INDEX(IncomeTable,,1), 0),
    _xlpm.thresholds, INDEX(IncomeTable, _xlpm.rowIndex, 2):INDEX(IncomeTable, _xlpm.rowIndex, 8),
    _xlpm.labels, {20,30,40,50,60,70,80},
    _xlpm.income, G488,
    IF(_xlpm.income &lt; INDEX(_xlpm.thresholds,1), "Below 20%",
      IF(_xlpm.income &gt; INDEX(_xlpm.thresholds,7), "Above 80%",
        INDEX(_xlpm.labels, _xlfn.XLOOKUP(_xlpm.income, _xlpm.thresholds, _xlfn.SEQUENCE(1,7), , -1))
      )
    )
  )
)</f>
        <v/>
      </c>
      <c r="I488" s="42" t="str">
        <f t="shared" si="31"/>
        <v/>
      </c>
      <c r="J488" s="61"/>
      <c r="K488" s="61"/>
      <c r="L488" s="61"/>
      <c r="M488" s="61"/>
      <c r="N488" s="47" t="str">
        <f t="shared" si="30"/>
        <v/>
      </c>
      <c r="O488" s="48" t="str">
        <f>IF(OR(C488="", B488=""), "",
  INDEX(RentTable, MATCH(B488, {0,1,2,3,4}, 0), MATCH(C488, {20,30,40,50,60,70,80}, 1))
)</f>
        <v/>
      </c>
      <c r="P488" s="60"/>
      <c r="Q488" s="48" t="str">
        <f t="shared" si="32"/>
        <v/>
      </c>
      <c r="R488" s="60"/>
      <c r="S488" s="60"/>
      <c r="T488" s="48" t="str">
        <f t="shared" si="29"/>
        <v/>
      </c>
      <c r="U488" s="42" t="str" cm="1">
        <f t="array" ref="U488">_xlfn.IFS(OR(Q488="", T488="", Q488=0, "", T488=0), "", AND(T488&lt;=Q488,D488&lt;=Q488), "Y", OR(T488&gt;Q488,D488&gt;Q488), "N")</f>
        <v/>
      </c>
      <c r="V488" s="62"/>
      <c r="W488" s="63"/>
    </row>
    <row r="489" spans="1:23" x14ac:dyDescent="0.25">
      <c r="A489" s="58"/>
      <c r="B489" s="59"/>
      <c r="C489" s="59"/>
      <c r="D489" s="60"/>
      <c r="E489" s="59"/>
      <c r="F489" s="59"/>
      <c r="G489" s="60"/>
      <c r="H489" s="43" t="str" cm="1">
        <f t="array" ref="H489">IF(OR(F489="", G489=""), "",
  _xlfn.LET(
    _xlpm.rowIndex, MATCH(F489, INDEX(IncomeTable,,1), 0),
    _xlpm.thresholds, INDEX(IncomeTable, _xlpm.rowIndex, 2):INDEX(IncomeTable, _xlpm.rowIndex, 8),
    _xlpm.labels, {20,30,40,50,60,70,80},
    _xlpm.income, G489,
    IF(_xlpm.income &lt; INDEX(_xlpm.thresholds,1), "Below 20%",
      IF(_xlpm.income &gt; INDEX(_xlpm.thresholds,7), "Above 80%",
        INDEX(_xlpm.labels, _xlfn.XLOOKUP(_xlpm.income, _xlpm.thresholds, _xlfn.SEQUENCE(1,7), , -1))
      )
    )
  )
)</f>
        <v/>
      </c>
      <c r="I489" s="42" t="str">
        <f t="shared" si="31"/>
        <v/>
      </c>
      <c r="J489" s="61"/>
      <c r="K489" s="61"/>
      <c r="L489" s="61"/>
      <c r="M489" s="61"/>
      <c r="N489" s="47" t="str">
        <f t="shared" si="30"/>
        <v/>
      </c>
      <c r="O489" s="48" t="str">
        <f>IF(OR(C489="", B489=""), "",
  INDEX(RentTable, MATCH(B489, {0,1,2,3,4}, 0), MATCH(C489, {20,30,40,50,60,70,80}, 1))
)</f>
        <v/>
      </c>
      <c r="P489" s="60"/>
      <c r="Q489" s="48" t="str">
        <f t="shared" si="32"/>
        <v/>
      </c>
      <c r="R489" s="60"/>
      <c r="S489" s="60"/>
      <c r="T489" s="48" t="str">
        <f t="shared" si="29"/>
        <v/>
      </c>
      <c r="U489" s="42" t="str" cm="1">
        <f t="array" ref="U489">_xlfn.IFS(OR(Q489="", T489="", Q489=0, "", T489=0), "", AND(T489&lt;=Q489,D489&lt;=Q489), "Y", OR(T489&gt;Q489,D489&gt;Q489), "N")</f>
        <v/>
      </c>
      <c r="V489" s="62"/>
      <c r="W489" s="63"/>
    </row>
    <row r="490" spans="1:23" x14ac:dyDescent="0.25">
      <c r="A490" s="58"/>
      <c r="B490" s="59"/>
      <c r="C490" s="59"/>
      <c r="D490" s="60"/>
      <c r="E490" s="59"/>
      <c r="F490" s="59"/>
      <c r="G490" s="60"/>
      <c r="H490" s="43" t="str" cm="1">
        <f t="array" ref="H490">IF(OR(F490="", G490=""), "",
  _xlfn.LET(
    _xlpm.rowIndex, MATCH(F490, INDEX(IncomeTable,,1), 0),
    _xlpm.thresholds, INDEX(IncomeTable, _xlpm.rowIndex, 2):INDEX(IncomeTable, _xlpm.rowIndex, 8),
    _xlpm.labels, {20,30,40,50,60,70,80},
    _xlpm.income, G490,
    IF(_xlpm.income &lt; INDEX(_xlpm.thresholds,1), "Below 20%",
      IF(_xlpm.income &gt; INDEX(_xlpm.thresholds,7), "Above 80%",
        INDEX(_xlpm.labels, _xlfn.XLOOKUP(_xlpm.income, _xlpm.thresholds, _xlfn.SEQUENCE(1,7), , -1))
      )
    )
  )
)</f>
        <v/>
      </c>
      <c r="I490" s="42" t="str">
        <f t="shared" si="31"/>
        <v/>
      </c>
      <c r="J490" s="61"/>
      <c r="K490" s="61"/>
      <c r="L490" s="61"/>
      <c r="M490" s="61"/>
      <c r="N490" s="47" t="str">
        <f t="shared" si="30"/>
        <v/>
      </c>
      <c r="O490" s="48" t="str">
        <f>IF(OR(C490="", B490=""), "",
  INDEX(RentTable, MATCH(B490, {0,1,2,3,4}, 0), MATCH(C490, {20,30,40,50,60,70,80}, 1))
)</f>
        <v/>
      </c>
      <c r="P490" s="60"/>
      <c r="Q490" s="48" t="str">
        <f t="shared" si="32"/>
        <v/>
      </c>
      <c r="R490" s="60"/>
      <c r="S490" s="60"/>
      <c r="T490" s="48" t="str">
        <f t="shared" si="29"/>
        <v/>
      </c>
      <c r="U490" s="42" t="str" cm="1">
        <f t="array" ref="U490">_xlfn.IFS(OR(Q490="", T490="", Q490=0, "", T490=0), "", AND(T490&lt;=Q490,D490&lt;=Q490), "Y", OR(T490&gt;Q490,D490&gt;Q490), "N")</f>
        <v/>
      </c>
      <c r="V490" s="62"/>
      <c r="W490" s="63"/>
    </row>
    <row r="491" spans="1:23" x14ac:dyDescent="0.25">
      <c r="A491" s="58"/>
      <c r="B491" s="59"/>
      <c r="C491" s="59"/>
      <c r="D491" s="60"/>
      <c r="E491" s="59"/>
      <c r="F491" s="59"/>
      <c r="G491" s="60"/>
      <c r="H491" s="43" t="str" cm="1">
        <f t="array" ref="H491">IF(OR(F491="", G491=""), "",
  _xlfn.LET(
    _xlpm.rowIndex, MATCH(F491, INDEX(IncomeTable,,1), 0),
    _xlpm.thresholds, INDEX(IncomeTable, _xlpm.rowIndex, 2):INDEX(IncomeTable, _xlpm.rowIndex, 8),
    _xlpm.labels, {20,30,40,50,60,70,80},
    _xlpm.income, G491,
    IF(_xlpm.income &lt; INDEX(_xlpm.thresholds,1), "Below 20%",
      IF(_xlpm.income &gt; INDEX(_xlpm.thresholds,7), "Above 80%",
        INDEX(_xlpm.labels, _xlfn.XLOOKUP(_xlpm.income, _xlpm.thresholds, _xlfn.SEQUENCE(1,7), , -1))
      )
    )
  )
)</f>
        <v/>
      </c>
      <c r="I491" s="42" t="str">
        <f t="shared" si="31"/>
        <v/>
      </c>
      <c r="J491" s="61"/>
      <c r="K491" s="61"/>
      <c r="L491" s="61"/>
      <c r="M491" s="61"/>
      <c r="N491" s="47" t="str">
        <f t="shared" si="30"/>
        <v/>
      </c>
      <c r="O491" s="48" t="str">
        <f>IF(OR(C491="", B491=""), "",
  INDEX(RentTable, MATCH(B491, {0,1,2,3,4}, 0), MATCH(C491, {20,30,40,50,60,70,80}, 1))
)</f>
        <v/>
      </c>
      <c r="P491" s="60"/>
      <c r="Q491" s="48" t="str">
        <f t="shared" si="32"/>
        <v/>
      </c>
      <c r="R491" s="60"/>
      <c r="S491" s="60"/>
      <c r="T491" s="48" t="str">
        <f t="shared" si="29"/>
        <v/>
      </c>
      <c r="U491" s="42" t="str" cm="1">
        <f t="array" ref="U491">_xlfn.IFS(OR(Q491="", T491="", Q491=0, "", T491=0), "", AND(T491&lt;=Q491,D491&lt;=Q491), "Y", OR(T491&gt;Q491,D491&gt;Q491), "N")</f>
        <v/>
      </c>
      <c r="V491" s="62"/>
      <c r="W491" s="63"/>
    </row>
    <row r="492" spans="1:23" x14ac:dyDescent="0.25">
      <c r="A492" s="58"/>
      <c r="B492" s="59"/>
      <c r="C492" s="59"/>
      <c r="D492" s="60"/>
      <c r="E492" s="59"/>
      <c r="F492" s="59"/>
      <c r="G492" s="60"/>
      <c r="H492" s="43" t="str" cm="1">
        <f t="array" ref="H492">IF(OR(F492="", G492=""), "",
  _xlfn.LET(
    _xlpm.rowIndex, MATCH(F492, INDEX(IncomeTable,,1), 0),
    _xlpm.thresholds, INDEX(IncomeTable, _xlpm.rowIndex, 2):INDEX(IncomeTable, _xlpm.rowIndex, 8),
    _xlpm.labels, {20,30,40,50,60,70,80},
    _xlpm.income, G492,
    IF(_xlpm.income &lt; INDEX(_xlpm.thresholds,1), "Below 20%",
      IF(_xlpm.income &gt; INDEX(_xlpm.thresholds,7), "Above 80%",
        INDEX(_xlpm.labels, _xlfn.XLOOKUP(_xlpm.income, _xlpm.thresholds, _xlfn.SEQUENCE(1,7), , -1))
      )
    )
  )
)</f>
        <v/>
      </c>
      <c r="I492" s="42" t="str">
        <f t="shared" si="31"/>
        <v/>
      </c>
      <c r="J492" s="61"/>
      <c r="K492" s="61"/>
      <c r="L492" s="61"/>
      <c r="M492" s="61"/>
      <c r="N492" s="47" t="str">
        <f t="shared" si="30"/>
        <v/>
      </c>
      <c r="O492" s="48" t="str">
        <f>IF(OR(C492="", B492=""), "",
  INDEX(RentTable, MATCH(B492, {0,1,2,3,4}, 0), MATCH(C492, {20,30,40,50,60,70,80}, 1))
)</f>
        <v/>
      </c>
      <c r="P492" s="60"/>
      <c r="Q492" s="48" t="str">
        <f t="shared" si="32"/>
        <v/>
      </c>
      <c r="R492" s="60"/>
      <c r="S492" s="60"/>
      <c r="T492" s="48" t="str">
        <f t="shared" si="29"/>
        <v/>
      </c>
      <c r="U492" s="42" t="str" cm="1">
        <f t="array" ref="U492">_xlfn.IFS(OR(Q492="", T492="", Q492=0, "", T492=0), "", AND(T492&lt;=Q492,D492&lt;=Q492), "Y", OR(T492&gt;Q492,D492&gt;Q492), "N")</f>
        <v/>
      </c>
      <c r="V492" s="62"/>
      <c r="W492" s="63"/>
    </row>
    <row r="493" spans="1:23" x14ac:dyDescent="0.25">
      <c r="A493" s="58"/>
      <c r="B493" s="59"/>
      <c r="C493" s="59"/>
      <c r="D493" s="60"/>
      <c r="E493" s="59"/>
      <c r="F493" s="59"/>
      <c r="G493" s="60"/>
      <c r="H493" s="43" t="str" cm="1">
        <f t="array" ref="H493">IF(OR(F493="", G493=""), "",
  _xlfn.LET(
    _xlpm.rowIndex, MATCH(F493, INDEX(IncomeTable,,1), 0),
    _xlpm.thresholds, INDEX(IncomeTable, _xlpm.rowIndex, 2):INDEX(IncomeTable, _xlpm.rowIndex, 8),
    _xlpm.labels, {20,30,40,50,60,70,80},
    _xlpm.income, G493,
    IF(_xlpm.income &lt; INDEX(_xlpm.thresholds,1), "Below 20%",
      IF(_xlpm.income &gt; INDEX(_xlpm.thresholds,7), "Above 80%",
        INDEX(_xlpm.labels, _xlfn.XLOOKUP(_xlpm.income, _xlpm.thresholds, _xlfn.SEQUENCE(1,7), , -1))
      )
    )
  )
)</f>
        <v/>
      </c>
      <c r="I493" s="42" t="str">
        <f t="shared" si="31"/>
        <v/>
      </c>
      <c r="J493" s="61"/>
      <c r="K493" s="61"/>
      <c r="L493" s="61"/>
      <c r="M493" s="61"/>
      <c r="N493" s="47" t="str">
        <f t="shared" si="30"/>
        <v/>
      </c>
      <c r="O493" s="48" t="str">
        <f>IF(OR(C493="", B493=""), "",
  INDEX(RentTable, MATCH(B493, {0,1,2,3,4}, 0), MATCH(C493, {20,30,40,50,60,70,80}, 1))
)</f>
        <v/>
      </c>
      <c r="P493" s="60"/>
      <c r="Q493" s="48" t="str">
        <f t="shared" si="32"/>
        <v/>
      </c>
      <c r="R493" s="60"/>
      <c r="S493" s="60"/>
      <c r="T493" s="48" t="str">
        <f t="shared" si="29"/>
        <v/>
      </c>
      <c r="U493" s="42" t="str" cm="1">
        <f t="array" ref="U493">_xlfn.IFS(OR(Q493="", T493="", Q493=0, "", T493=0), "", AND(T493&lt;=Q493,D493&lt;=Q493), "Y", OR(T493&gt;Q493,D493&gt;Q493), "N")</f>
        <v/>
      </c>
      <c r="V493" s="62"/>
      <c r="W493" s="63"/>
    </row>
    <row r="494" spans="1:23" x14ac:dyDescent="0.25">
      <c r="A494" s="58"/>
      <c r="B494" s="59"/>
      <c r="C494" s="59"/>
      <c r="D494" s="60"/>
      <c r="E494" s="59"/>
      <c r="F494" s="59"/>
      <c r="G494" s="60"/>
      <c r="H494" s="43" t="str" cm="1">
        <f t="array" ref="H494">IF(OR(F494="", G494=""), "",
  _xlfn.LET(
    _xlpm.rowIndex, MATCH(F494, INDEX(IncomeTable,,1), 0),
    _xlpm.thresholds, INDEX(IncomeTable, _xlpm.rowIndex, 2):INDEX(IncomeTable, _xlpm.rowIndex, 8),
    _xlpm.labels, {20,30,40,50,60,70,80},
    _xlpm.income, G494,
    IF(_xlpm.income &lt; INDEX(_xlpm.thresholds,1), "Below 20%",
      IF(_xlpm.income &gt; INDEX(_xlpm.thresholds,7), "Above 80%",
        INDEX(_xlpm.labels, _xlfn.XLOOKUP(_xlpm.income, _xlpm.thresholds, _xlfn.SEQUENCE(1,7), , -1))
      )
    )
  )
)</f>
        <v/>
      </c>
      <c r="I494" s="42" t="str">
        <f t="shared" si="31"/>
        <v/>
      </c>
      <c r="J494" s="61"/>
      <c r="K494" s="61"/>
      <c r="L494" s="61"/>
      <c r="M494" s="61"/>
      <c r="N494" s="47" t="str">
        <f t="shared" si="30"/>
        <v/>
      </c>
      <c r="O494" s="48" t="str">
        <f>IF(OR(C494="", B494=""), "",
  INDEX(RentTable, MATCH(B494, {0,1,2,3,4}, 0), MATCH(C494, {20,30,40,50,60,70,80}, 1))
)</f>
        <v/>
      </c>
      <c r="P494" s="60"/>
      <c r="Q494" s="48" t="str">
        <f t="shared" si="32"/>
        <v/>
      </c>
      <c r="R494" s="60"/>
      <c r="S494" s="60"/>
      <c r="T494" s="48" t="str">
        <f t="shared" si="29"/>
        <v/>
      </c>
      <c r="U494" s="42" t="str" cm="1">
        <f t="array" ref="U494">_xlfn.IFS(OR(Q494="", T494="", Q494=0, "", T494=0), "", AND(T494&lt;=Q494,D494&lt;=Q494), "Y", OR(T494&gt;Q494,D494&gt;Q494), "N")</f>
        <v/>
      </c>
      <c r="V494" s="62"/>
      <c r="W494" s="63"/>
    </row>
    <row r="495" spans="1:23" x14ac:dyDescent="0.25">
      <c r="A495" s="58"/>
      <c r="B495" s="59"/>
      <c r="C495" s="59"/>
      <c r="D495" s="60"/>
      <c r="E495" s="59"/>
      <c r="F495" s="59"/>
      <c r="G495" s="60"/>
      <c r="H495" s="43" t="str" cm="1">
        <f t="array" ref="H495">IF(OR(F495="", G495=""), "",
  _xlfn.LET(
    _xlpm.rowIndex, MATCH(F495, INDEX(IncomeTable,,1), 0),
    _xlpm.thresholds, INDEX(IncomeTable, _xlpm.rowIndex, 2):INDEX(IncomeTable, _xlpm.rowIndex, 8),
    _xlpm.labels, {20,30,40,50,60,70,80},
    _xlpm.income, G495,
    IF(_xlpm.income &lt; INDEX(_xlpm.thresholds,1), "Below 20%",
      IF(_xlpm.income &gt; INDEX(_xlpm.thresholds,7), "Above 80%",
        INDEX(_xlpm.labels, _xlfn.XLOOKUP(_xlpm.income, _xlpm.thresholds, _xlfn.SEQUENCE(1,7), , -1))
      )
    )
  )
)</f>
        <v/>
      </c>
      <c r="I495" s="42" t="str">
        <f t="shared" si="31"/>
        <v/>
      </c>
      <c r="J495" s="61"/>
      <c r="K495" s="61"/>
      <c r="L495" s="61"/>
      <c r="M495" s="61"/>
      <c r="N495" s="47" t="str">
        <f t="shared" si="30"/>
        <v/>
      </c>
      <c r="O495" s="48" t="str">
        <f>IF(OR(C495="", B495=""), "",
  INDEX(RentTable, MATCH(B495, {0,1,2,3,4}, 0), MATCH(C495, {20,30,40,50,60,70,80}, 1))
)</f>
        <v/>
      </c>
      <c r="P495" s="60"/>
      <c r="Q495" s="48" t="str">
        <f t="shared" si="32"/>
        <v/>
      </c>
      <c r="R495" s="60"/>
      <c r="S495" s="60"/>
      <c r="T495" s="48" t="str">
        <f t="shared" si="29"/>
        <v/>
      </c>
      <c r="U495" s="42" t="str" cm="1">
        <f t="array" ref="U495">_xlfn.IFS(OR(Q495="", T495="", Q495=0, "", T495=0), "", AND(T495&lt;=Q495,D495&lt;=Q495), "Y", OR(T495&gt;Q495,D495&gt;Q495), "N")</f>
        <v/>
      </c>
      <c r="V495" s="62"/>
      <c r="W495" s="63"/>
    </row>
    <row r="496" spans="1:23" x14ac:dyDescent="0.25">
      <c r="A496" s="58"/>
      <c r="B496" s="59"/>
      <c r="C496" s="59"/>
      <c r="D496" s="60"/>
      <c r="E496" s="59"/>
      <c r="F496" s="59"/>
      <c r="G496" s="60"/>
      <c r="H496" s="43" t="str" cm="1">
        <f t="array" ref="H496">IF(OR(F496="", G496=""), "",
  _xlfn.LET(
    _xlpm.rowIndex, MATCH(F496, INDEX(IncomeTable,,1), 0),
    _xlpm.thresholds, INDEX(IncomeTable, _xlpm.rowIndex, 2):INDEX(IncomeTable, _xlpm.rowIndex, 8),
    _xlpm.labels, {20,30,40,50,60,70,80},
    _xlpm.income, G496,
    IF(_xlpm.income &lt; INDEX(_xlpm.thresholds,1), "Below 20%",
      IF(_xlpm.income &gt; INDEX(_xlpm.thresholds,7), "Above 80%",
        INDEX(_xlpm.labels, _xlfn.XLOOKUP(_xlpm.income, _xlpm.thresholds, _xlfn.SEQUENCE(1,7), , -1))
      )
    )
  )
)</f>
        <v/>
      </c>
      <c r="I496" s="42" t="str">
        <f t="shared" si="31"/>
        <v/>
      </c>
      <c r="J496" s="61"/>
      <c r="K496" s="61"/>
      <c r="L496" s="61"/>
      <c r="M496" s="61"/>
      <c r="N496" s="47" t="str">
        <f t="shared" si="30"/>
        <v/>
      </c>
      <c r="O496" s="48" t="str">
        <f>IF(OR(C496="", B496=""), "",
  INDEX(RentTable, MATCH(B496, {0,1,2,3,4}, 0), MATCH(C496, {20,30,40,50,60,70,80}, 1))
)</f>
        <v/>
      </c>
      <c r="P496" s="60"/>
      <c r="Q496" s="48" t="str">
        <f t="shared" si="32"/>
        <v/>
      </c>
      <c r="R496" s="60"/>
      <c r="S496" s="60"/>
      <c r="T496" s="48" t="str">
        <f t="shared" si="29"/>
        <v/>
      </c>
      <c r="U496" s="42" t="str" cm="1">
        <f t="array" ref="U496">_xlfn.IFS(OR(Q496="", T496="", Q496=0, "", T496=0), "", AND(T496&lt;=Q496,D496&lt;=Q496), "Y", OR(T496&gt;Q496,D496&gt;Q496), "N")</f>
        <v/>
      </c>
      <c r="V496" s="62"/>
      <c r="W496" s="63"/>
    </row>
    <row r="497" spans="1:23" x14ac:dyDescent="0.25">
      <c r="A497" s="58"/>
      <c r="B497" s="59"/>
      <c r="C497" s="59"/>
      <c r="D497" s="60"/>
      <c r="E497" s="59"/>
      <c r="F497" s="59"/>
      <c r="G497" s="60"/>
      <c r="H497" s="43" t="str" cm="1">
        <f t="array" ref="H497">IF(OR(F497="", G497=""), "",
  _xlfn.LET(
    _xlpm.rowIndex, MATCH(F497, INDEX(IncomeTable,,1), 0),
    _xlpm.thresholds, INDEX(IncomeTable, _xlpm.rowIndex, 2):INDEX(IncomeTable, _xlpm.rowIndex, 8),
    _xlpm.labels, {20,30,40,50,60,70,80},
    _xlpm.income, G497,
    IF(_xlpm.income &lt; INDEX(_xlpm.thresholds,1), "Below 20%",
      IF(_xlpm.income &gt; INDEX(_xlpm.thresholds,7), "Above 80%",
        INDEX(_xlpm.labels, _xlfn.XLOOKUP(_xlpm.income, _xlpm.thresholds, _xlfn.SEQUENCE(1,7), , -1))
      )
    )
  )
)</f>
        <v/>
      </c>
      <c r="I497" s="42" t="str">
        <f t="shared" si="31"/>
        <v/>
      </c>
      <c r="J497" s="61"/>
      <c r="K497" s="61"/>
      <c r="L497" s="61"/>
      <c r="M497" s="61"/>
      <c r="N497" s="47" t="str">
        <f t="shared" si="30"/>
        <v/>
      </c>
      <c r="O497" s="48" t="str">
        <f>IF(OR(C497="", B497=""), "",
  INDEX(RentTable, MATCH(B497, {0,1,2,3,4}, 0), MATCH(C497, {20,30,40,50,60,70,80}, 1))
)</f>
        <v/>
      </c>
      <c r="P497" s="60"/>
      <c r="Q497" s="48" t="str">
        <f t="shared" si="32"/>
        <v/>
      </c>
      <c r="R497" s="60"/>
      <c r="S497" s="60"/>
      <c r="T497" s="48" t="str">
        <f t="shared" si="29"/>
        <v/>
      </c>
      <c r="U497" s="42" t="str" cm="1">
        <f t="array" ref="U497">_xlfn.IFS(OR(Q497="", T497="", Q497=0, "", T497=0), "", AND(T497&lt;=Q497,D497&lt;=Q497), "Y", OR(T497&gt;Q497,D497&gt;Q497), "N")</f>
        <v/>
      </c>
      <c r="V497" s="62"/>
      <c r="W497" s="63"/>
    </row>
    <row r="498" spans="1:23" x14ac:dyDescent="0.25">
      <c r="A498" s="58"/>
      <c r="B498" s="59"/>
      <c r="C498" s="59"/>
      <c r="D498" s="60"/>
      <c r="E498" s="59"/>
      <c r="F498" s="59"/>
      <c r="G498" s="60"/>
      <c r="H498" s="43" t="str" cm="1">
        <f t="array" ref="H498">IF(OR(F498="", G498=""), "",
  _xlfn.LET(
    _xlpm.rowIndex, MATCH(F498, INDEX(IncomeTable,,1), 0),
    _xlpm.thresholds, INDEX(IncomeTable, _xlpm.rowIndex, 2):INDEX(IncomeTable, _xlpm.rowIndex, 8),
    _xlpm.labels, {20,30,40,50,60,70,80},
    _xlpm.income, G498,
    IF(_xlpm.income &lt; INDEX(_xlpm.thresholds,1), "Below 20%",
      IF(_xlpm.income &gt; INDEX(_xlpm.thresholds,7), "Above 80%",
        INDEX(_xlpm.labels, _xlfn.XLOOKUP(_xlpm.income, _xlpm.thresholds, _xlfn.SEQUENCE(1,7), , -1))
      )
    )
  )
)</f>
        <v/>
      </c>
      <c r="I498" s="42" t="str">
        <f t="shared" si="31"/>
        <v/>
      </c>
      <c r="J498" s="61"/>
      <c r="K498" s="61"/>
      <c r="L498" s="61"/>
      <c r="M498" s="61"/>
      <c r="N498" s="47" t="str">
        <f t="shared" si="30"/>
        <v/>
      </c>
      <c r="O498" s="48" t="str">
        <f>IF(OR(C498="", B498=""), "",
  INDEX(RentTable, MATCH(B498, {0,1,2,3,4}, 0), MATCH(C498, {20,30,40,50,60,70,80}, 1))
)</f>
        <v/>
      </c>
      <c r="P498" s="60"/>
      <c r="Q498" s="48" t="str">
        <f t="shared" si="32"/>
        <v/>
      </c>
      <c r="R498" s="60"/>
      <c r="S498" s="60"/>
      <c r="T498" s="48" t="str">
        <f t="shared" si="29"/>
        <v/>
      </c>
      <c r="U498" s="42" t="str" cm="1">
        <f t="array" ref="U498">_xlfn.IFS(OR(Q498="", T498="", Q498=0, "", T498=0), "", AND(T498&lt;=Q498,D498&lt;=Q498), "Y", OR(T498&gt;Q498,D498&gt;Q498), "N")</f>
        <v/>
      </c>
      <c r="V498" s="62"/>
      <c r="W498" s="63"/>
    </row>
    <row r="499" spans="1:23" x14ac:dyDescent="0.25">
      <c r="A499" s="58"/>
      <c r="B499" s="59"/>
      <c r="C499" s="59"/>
      <c r="D499" s="60"/>
      <c r="E499" s="59"/>
      <c r="F499" s="59"/>
      <c r="G499" s="60"/>
      <c r="H499" s="43" t="str" cm="1">
        <f t="array" ref="H499">IF(OR(F499="", G499=""), "",
  _xlfn.LET(
    _xlpm.rowIndex, MATCH(F499, INDEX(IncomeTable,,1), 0),
    _xlpm.thresholds, INDEX(IncomeTable, _xlpm.rowIndex, 2):INDEX(IncomeTable, _xlpm.rowIndex, 8),
    _xlpm.labels, {20,30,40,50,60,70,80},
    _xlpm.income, G499,
    IF(_xlpm.income &lt; INDEX(_xlpm.thresholds,1), "Below 20%",
      IF(_xlpm.income &gt; INDEX(_xlpm.thresholds,7), "Above 80%",
        INDEX(_xlpm.labels, _xlfn.XLOOKUP(_xlpm.income, _xlpm.thresholds, _xlfn.SEQUENCE(1,7), , -1))
      )
    )
  )
)</f>
        <v/>
      </c>
      <c r="I499" s="42" t="str">
        <f t="shared" si="31"/>
        <v/>
      </c>
      <c r="J499" s="61"/>
      <c r="K499" s="61"/>
      <c r="L499" s="61"/>
      <c r="M499" s="61"/>
      <c r="N499" s="47" t="str">
        <f t="shared" si="30"/>
        <v/>
      </c>
      <c r="O499" s="48" t="str">
        <f>IF(OR(C499="", B499=""), "",
  INDEX(RentTable, MATCH(B499, {0,1,2,3,4}, 0), MATCH(C499, {20,30,40,50,60,70,80}, 1))
)</f>
        <v/>
      </c>
      <c r="P499" s="60"/>
      <c r="Q499" s="48" t="str">
        <f t="shared" si="32"/>
        <v/>
      </c>
      <c r="R499" s="60"/>
      <c r="S499" s="60"/>
      <c r="T499" s="48" t="str">
        <f t="shared" si="29"/>
        <v/>
      </c>
      <c r="U499" s="42" t="str" cm="1">
        <f t="array" ref="U499">_xlfn.IFS(OR(Q499="", T499="", Q499=0, "", T499=0), "", AND(T499&lt;=Q499,D499&lt;=Q499), "Y", OR(T499&gt;Q499,D499&gt;Q499), "N")</f>
        <v/>
      </c>
      <c r="V499" s="62"/>
      <c r="W499" s="63"/>
    </row>
    <row r="500" spans="1:23" ht="15.75" thickBot="1" x14ac:dyDescent="0.3">
      <c r="A500" s="65"/>
      <c r="B500" s="66"/>
      <c r="C500" s="66"/>
      <c r="D500" s="67"/>
      <c r="E500" s="66"/>
      <c r="F500" s="66"/>
      <c r="G500" s="67"/>
      <c r="H500" s="44" t="str" cm="1">
        <f t="array" ref="H500">IF(OR(F500="", G500=""), "",
  _xlfn.LET(
    _xlpm.rowIndex, MATCH(F500, INDEX(IncomeTable,,1), 0),
    _xlpm.thresholds, INDEX(IncomeTable, _xlpm.rowIndex, 2):INDEX(IncomeTable, _xlpm.rowIndex, 8),
    _xlpm.labels, {20,30,40,50,60,70,80},
    _xlpm.income, G500,
    IF(_xlpm.income &lt; INDEX(_xlpm.thresholds,1), "Below 20%",
      IF(_xlpm.income &gt; INDEX(_xlpm.thresholds,7), "Above 80%",
        INDEX(_xlpm.labels, _xlfn.XLOOKUP(_xlpm.income, _xlpm.thresholds, _xlfn.SEQUENCE(1,7), , -1))
      )
    )
  )
)</f>
        <v/>
      </c>
      <c r="I500" s="45" t="str">
        <f t="shared" si="31"/>
        <v/>
      </c>
      <c r="J500" s="68"/>
      <c r="K500" s="68"/>
      <c r="L500" s="68"/>
      <c r="M500" s="68"/>
      <c r="N500" s="49" t="str">
        <f t="shared" si="30"/>
        <v/>
      </c>
      <c r="O500" s="50" t="str">
        <f>IF(OR(C500="", B500=""), "",
  INDEX(RentTable, MATCH(B500, {0,1,2,3,4}, 0), MATCH(C500, {20,30,40,50,60,70,80}, 1))
)</f>
        <v/>
      </c>
      <c r="P500" s="67"/>
      <c r="Q500" s="50" t="str">
        <f t="shared" si="32"/>
        <v/>
      </c>
      <c r="R500" s="67"/>
      <c r="S500" s="67"/>
      <c r="T500" s="50" t="str">
        <f t="shared" si="29"/>
        <v/>
      </c>
      <c r="U500" s="45" t="str" cm="1">
        <f t="array" ref="U500">_xlfn.IFS(OR(Q500="", T500="", Q500=0, "", T500=0), "", AND(T500&lt;=Q500,D500&lt;=Q500), "Y", OR(T500&gt;Q500,D500&gt;Q500), "N")</f>
        <v/>
      </c>
      <c r="V500" s="69"/>
      <c r="W500" s="70"/>
    </row>
  </sheetData>
  <sheetProtection insertColumns="0" insertRows="0" insertHyperlinks="0" sort="0" autoFilter="0" pivotTables="0"/>
  <autoFilter ref="A22:W500" xr:uid="{00000000-0009-0000-0000-000001000000}"/>
  <mergeCells count="9">
    <mergeCell ref="L6:N6"/>
    <mergeCell ref="L7:M7"/>
    <mergeCell ref="M9:N9"/>
    <mergeCell ref="L10:M10"/>
    <mergeCell ref="A1:D1"/>
    <mergeCell ref="D5:F5"/>
    <mergeCell ref="E14:F14"/>
    <mergeCell ref="H5:J5"/>
    <mergeCell ref="I14:J14"/>
  </mergeCells>
  <phoneticPr fontId="6" type="noConversion"/>
  <dataValidations count="3">
    <dataValidation type="whole" allowBlank="1" showInputMessage="1" showErrorMessage="1" sqref="B23:B500" xr:uid="{00000000-0002-0000-0100-000000000000}">
      <formula1>0</formula1>
      <formula2>4</formula2>
    </dataValidation>
    <dataValidation type="whole" operator="greaterThanOrEqual" allowBlank="1" showInputMessage="1" showErrorMessage="1" sqref="F23:F500" xr:uid="{00000000-0002-0000-0100-000001000000}">
      <formula1>0</formula1>
    </dataValidation>
    <dataValidation type="whole" allowBlank="1" showInputMessage="1" showErrorMessage="1" sqref="C23:C500" xr:uid="{00000000-0002-0000-0100-000002000000}">
      <formula1>0</formula1>
      <formula2>80</formula2>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25"/>
  <sheetViews>
    <sheetView topLeftCell="A6" workbookViewId="0">
      <selection activeCell="A3" sqref="A3"/>
    </sheetView>
  </sheetViews>
  <sheetFormatPr defaultRowHeight="15" x14ac:dyDescent="0.25"/>
  <cols>
    <col min="1" max="1" width="15.7109375" customWidth="1"/>
  </cols>
  <sheetData>
    <row r="2" spans="1:8" x14ac:dyDescent="0.25">
      <c r="A2" t="s">
        <v>86</v>
      </c>
    </row>
    <row r="4" spans="1:8" x14ac:dyDescent="0.25">
      <c r="A4" t="s">
        <v>87</v>
      </c>
    </row>
    <row r="5" spans="1:8" ht="15.75" thickBot="1" x14ac:dyDescent="0.3"/>
    <row r="6" spans="1:8" ht="15.75" thickBot="1" x14ac:dyDescent="0.3">
      <c r="B6" s="128" t="s">
        <v>88</v>
      </c>
      <c r="C6" s="129"/>
      <c r="D6" s="129"/>
      <c r="E6" s="129"/>
      <c r="F6" s="129"/>
      <c r="G6" s="129"/>
      <c r="H6" s="130"/>
    </row>
    <row r="7" spans="1:8" ht="15.75" thickBot="1" x14ac:dyDescent="0.3">
      <c r="A7" s="12" t="s">
        <v>68</v>
      </c>
      <c r="B7" s="9">
        <v>0.2</v>
      </c>
      <c r="C7" s="10">
        <v>0.3</v>
      </c>
      <c r="D7" s="10">
        <v>0.4</v>
      </c>
      <c r="E7" s="10">
        <v>0.5</v>
      </c>
      <c r="F7" s="10">
        <v>0.6</v>
      </c>
      <c r="G7" s="10">
        <v>0.7</v>
      </c>
      <c r="H7" s="11">
        <v>0.8</v>
      </c>
    </row>
    <row r="8" spans="1:8" x14ac:dyDescent="0.25">
      <c r="A8" s="30">
        <v>1</v>
      </c>
      <c r="B8" s="13">
        <f>E8*0.4</f>
        <v>15460</v>
      </c>
      <c r="C8" s="14">
        <f>E8*0.6</f>
        <v>23190</v>
      </c>
      <c r="D8" s="14">
        <f>E8*0.8</f>
        <v>30920</v>
      </c>
      <c r="E8" s="14">
        <v>38650</v>
      </c>
      <c r="F8" s="14">
        <f>E8*1.2</f>
        <v>46380</v>
      </c>
      <c r="G8" s="14">
        <f>E8*1.4</f>
        <v>54110</v>
      </c>
      <c r="H8" s="15">
        <f>E8*1.6</f>
        <v>61840</v>
      </c>
    </row>
    <row r="9" spans="1:8" x14ac:dyDescent="0.25">
      <c r="A9" s="30">
        <v>2</v>
      </c>
      <c r="B9" s="16">
        <f t="shared" ref="B9:B15" si="0">E9*0.4</f>
        <v>17660</v>
      </c>
      <c r="C9" s="17">
        <f t="shared" ref="C9:C15" si="1">E9*0.6</f>
        <v>26490</v>
      </c>
      <c r="D9" s="17">
        <f t="shared" ref="D9:D15" si="2">E9*0.8</f>
        <v>35320</v>
      </c>
      <c r="E9" s="17">
        <v>44150</v>
      </c>
      <c r="F9" s="17">
        <f t="shared" ref="F9:F15" si="3">E9*1.2</f>
        <v>52980</v>
      </c>
      <c r="G9" s="17">
        <f t="shared" ref="G9:G15" si="4">E9*1.4</f>
        <v>61809.999999999993</v>
      </c>
      <c r="H9" s="18">
        <f t="shared" ref="H9:H14" si="5">E9*1.6</f>
        <v>70640</v>
      </c>
    </row>
    <row r="10" spans="1:8" x14ac:dyDescent="0.25">
      <c r="A10" s="30">
        <v>3</v>
      </c>
      <c r="B10" s="16">
        <f t="shared" si="0"/>
        <v>19860</v>
      </c>
      <c r="C10" s="17">
        <f t="shared" si="1"/>
        <v>29790</v>
      </c>
      <c r="D10" s="17">
        <f t="shared" si="2"/>
        <v>39720</v>
      </c>
      <c r="E10" s="17">
        <v>49650</v>
      </c>
      <c r="F10" s="17">
        <f t="shared" si="3"/>
        <v>59580</v>
      </c>
      <c r="G10" s="17">
        <f t="shared" si="4"/>
        <v>69510</v>
      </c>
      <c r="H10" s="18">
        <f t="shared" si="5"/>
        <v>79440</v>
      </c>
    </row>
    <row r="11" spans="1:8" x14ac:dyDescent="0.25">
      <c r="A11" s="30">
        <v>4</v>
      </c>
      <c r="B11" s="16">
        <f t="shared" si="0"/>
        <v>22060</v>
      </c>
      <c r="C11" s="17">
        <f t="shared" si="1"/>
        <v>33090</v>
      </c>
      <c r="D11" s="17">
        <f t="shared" si="2"/>
        <v>44120</v>
      </c>
      <c r="E11" s="17">
        <v>55150</v>
      </c>
      <c r="F11" s="17">
        <f t="shared" si="3"/>
        <v>66180</v>
      </c>
      <c r="G11" s="17">
        <f t="shared" si="4"/>
        <v>77210</v>
      </c>
      <c r="H11" s="18">
        <f t="shared" si="5"/>
        <v>88240</v>
      </c>
    </row>
    <row r="12" spans="1:8" x14ac:dyDescent="0.25">
      <c r="A12" s="30">
        <v>5</v>
      </c>
      <c r="B12" s="16">
        <f t="shared" si="0"/>
        <v>23840</v>
      </c>
      <c r="C12" s="17">
        <f t="shared" si="1"/>
        <v>35760</v>
      </c>
      <c r="D12" s="17">
        <f t="shared" si="2"/>
        <v>47680</v>
      </c>
      <c r="E12" s="17">
        <v>59600</v>
      </c>
      <c r="F12" s="17">
        <f t="shared" si="3"/>
        <v>71520</v>
      </c>
      <c r="G12" s="17">
        <f t="shared" si="4"/>
        <v>83440</v>
      </c>
      <c r="H12" s="18">
        <f t="shared" si="5"/>
        <v>95360</v>
      </c>
    </row>
    <row r="13" spans="1:8" x14ac:dyDescent="0.25">
      <c r="A13" s="30">
        <v>6</v>
      </c>
      <c r="B13" s="16">
        <f t="shared" si="0"/>
        <v>25600</v>
      </c>
      <c r="C13" s="17">
        <f t="shared" si="1"/>
        <v>38400</v>
      </c>
      <c r="D13" s="17">
        <f t="shared" si="2"/>
        <v>51200</v>
      </c>
      <c r="E13" s="17">
        <v>64000</v>
      </c>
      <c r="F13" s="17">
        <f t="shared" si="3"/>
        <v>76800</v>
      </c>
      <c r="G13" s="17">
        <f t="shared" si="4"/>
        <v>89600</v>
      </c>
      <c r="H13" s="18">
        <f t="shared" si="5"/>
        <v>102400</v>
      </c>
    </row>
    <row r="14" spans="1:8" x14ac:dyDescent="0.25">
      <c r="A14" s="30">
        <v>7</v>
      </c>
      <c r="B14" s="16">
        <f t="shared" si="0"/>
        <v>27360</v>
      </c>
      <c r="C14" s="17">
        <f t="shared" si="1"/>
        <v>41040</v>
      </c>
      <c r="D14" s="17">
        <f t="shared" si="2"/>
        <v>54720</v>
      </c>
      <c r="E14" s="17">
        <v>68400</v>
      </c>
      <c r="F14" s="17">
        <f t="shared" si="3"/>
        <v>82080</v>
      </c>
      <c r="G14" s="17">
        <f t="shared" si="4"/>
        <v>95760</v>
      </c>
      <c r="H14" s="18">
        <f t="shared" si="5"/>
        <v>109440</v>
      </c>
    </row>
    <row r="15" spans="1:8" ht="15.75" thickBot="1" x14ac:dyDescent="0.3">
      <c r="A15" s="31">
        <v>8</v>
      </c>
      <c r="B15" s="19">
        <f t="shared" si="0"/>
        <v>29120</v>
      </c>
      <c r="C15" s="20">
        <f t="shared" si="1"/>
        <v>43680</v>
      </c>
      <c r="D15" s="20">
        <f t="shared" si="2"/>
        <v>58240</v>
      </c>
      <c r="E15" s="20">
        <v>72800</v>
      </c>
      <c r="F15" s="20">
        <f t="shared" si="3"/>
        <v>87360</v>
      </c>
      <c r="G15" s="20">
        <f t="shared" si="4"/>
        <v>101920</v>
      </c>
      <c r="H15" s="21">
        <f>E15*1.6</f>
        <v>116480</v>
      </c>
    </row>
    <row r="18" spans="1:8" ht="15.75" thickBot="1" x14ac:dyDescent="0.3"/>
    <row r="19" spans="1:8" ht="15.75" thickBot="1" x14ac:dyDescent="0.3">
      <c r="B19" s="128" t="s">
        <v>89</v>
      </c>
      <c r="C19" s="129"/>
      <c r="D19" s="129"/>
      <c r="E19" s="129"/>
      <c r="F19" s="129"/>
      <c r="G19" s="129"/>
      <c r="H19" s="130"/>
    </row>
    <row r="20" spans="1:8" ht="15.75" thickBot="1" x14ac:dyDescent="0.3">
      <c r="A20" s="12" t="s">
        <v>90</v>
      </c>
      <c r="B20" s="22">
        <v>0.2</v>
      </c>
      <c r="C20" s="23">
        <v>0.3</v>
      </c>
      <c r="D20" s="23">
        <v>0.4</v>
      </c>
      <c r="E20" s="23">
        <v>0.5</v>
      </c>
      <c r="F20" s="23">
        <v>0.6</v>
      </c>
      <c r="G20" s="23">
        <v>0.7</v>
      </c>
      <c r="H20" s="24">
        <v>0.8</v>
      </c>
    </row>
    <row r="21" spans="1:8" x14ac:dyDescent="0.25">
      <c r="A21" s="25">
        <v>0</v>
      </c>
      <c r="B21" s="26">
        <v>386</v>
      </c>
      <c r="C21" s="27">
        <v>579</v>
      </c>
      <c r="D21" s="27">
        <v>773</v>
      </c>
      <c r="E21" s="27">
        <v>966</v>
      </c>
      <c r="F21" s="27">
        <v>1159</v>
      </c>
      <c r="G21" s="27">
        <v>1352</v>
      </c>
      <c r="H21" s="28">
        <v>1546</v>
      </c>
    </row>
    <row r="22" spans="1:8" x14ac:dyDescent="0.25">
      <c r="A22" s="25">
        <v>1</v>
      </c>
      <c r="B22" s="16">
        <v>414</v>
      </c>
      <c r="C22" s="17">
        <v>621</v>
      </c>
      <c r="D22" s="17">
        <v>828</v>
      </c>
      <c r="E22" s="17">
        <v>1035</v>
      </c>
      <c r="F22" s="17">
        <v>1242</v>
      </c>
      <c r="G22" s="17">
        <v>1449</v>
      </c>
      <c r="H22" s="18">
        <v>1656</v>
      </c>
    </row>
    <row r="23" spans="1:8" x14ac:dyDescent="0.25">
      <c r="A23" s="25">
        <v>2</v>
      </c>
      <c r="B23" s="16">
        <v>496</v>
      </c>
      <c r="C23" s="17">
        <v>744</v>
      </c>
      <c r="D23" s="17">
        <v>993</v>
      </c>
      <c r="E23" s="17">
        <v>1241</v>
      </c>
      <c r="F23" s="17">
        <v>1489</v>
      </c>
      <c r="G23" s="17">
        <v>1737</v>
      </c>
      <c r="H23" s="18">
        <v>1986</v>
      </c>
    </row>
    <row r="24" spans="1:8" x14ac:dyDescent="0.25">
      <c r="A24" s="25">
        <v>3</v>
      </c>
      <c r="B24" s="16">
        <v>573</v>
      </c>
      <c r="C24" s="17">
        <v>860</v>
      </c>
      <c r="D24" s="17">
        <v>1147</v>
      </c>
      <c r="E24" s="17">
        <v>1434</v>
      </c>
      <c r="F24" s="17">
        <v>1721</v>
      </c>
      <c r="G24" s="17">
        <v>2008</v>
      </c>
      <c r="H24" s="18">
        <v>2295</v>
      </c>
    </row>
    <row r="25" spans="1:8" ht="15.75" thickBot="1" x14ac:dyDescent="0.3">
      <c r="A25" s="29">
        <v>4</v>
      </c>
      <c r="B25" s="19">
        <v>640</v>
      </c>
      <c r="C25" s="20">
        <v>960</v>
      </c>
      <c r="D25" s="20">
        <v>1280</v>
      </c>
      <c r="E25" s="20">
        <v>1600</v>
      </c>
      <c r="F25" s="20">
        <v>1920</v>
      </c>
      <c r="G25" s="20">
        <v>2240</v>
      </c>
      <c r="H25" s="21">
        <v>2560</v>
      </c>
    </row>
  </sheetData>
  <sheetProtection algorithmName="SHA-512" hashValue="udm6sWNC6ds3v+am5N3FSMykdwej++lME083Vn+k8VcOBgnAOSTsnZi38jnrx0tRjIMYsGthfey78PFgM81SFg==" saltValue="lYAlvrIMRy+ZJcNdLVznfQ==" spinCount="100000" sheet="1" selectLockedCells="1" selectUnlockedCells="1"/>
  <mergeCells count="2">
    <mergeCell ref="B19:H19"/>
    <mergeCell ref="B6:H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cd3941-87d1-4217-8f91-a93c088c5e39">
      <Terms xmlns="http://schemas.microsoft.com/office/infopath/2007/PartnerControls"/>
    </lcf76f155ced4ddcb4097134ff3c332f>
    <TaxCatchAll xmlns="bb2577a4-e538-4b10-86ef-b3bbf0723a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3E82520C6AC04691A896FD000F040A" ma:contentTypeVersion="13" ma:contentTypeDescription="Create a new document." ma:contentTypeScope="" ma:versionID="b7298086195bbc6c7cc3c02b21fecfb7">
  <xsd:schema xmlns:xsd="http://www.w3.org/2001/XMLSchema" xmlns:xs="http://www.w3.org/2001/XMLSchema" xmlns:p="http://schemas.microsoft.com/office/2006/metadata/properties" xmlns:ns2="24cd3941-87d1-4217-8f91-a93c088c5e39" xmlns:ns3="bb2577a4-e538-4b10-86ef-b3bbf0723ad4" targetNamespace="http://schemas.microsoft.com/office/2006/metadata/properties" ma:root="true" ma:fieldsID="137293135d9be85c55ab0a8c8f98d037" ns2:_="" ns3:_="">
    <xsd:import namespace="24cd3941-87d1-4217-8f91-a93c088c5e39"/>
    <xsd:import namespace="bb2577a4-e538-4b10-86ef-b3bbf0723a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cd3941-87d1-4217-8f91-a93c088c5e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d79c0e3-6ef5-43d3-849c-8dcfe15c1bd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2577a4-e538-4b10-86ef-b3bbf0723ad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ccf95ba-0fe5-4db8-bc4f-eb98f0d69219}" ma:internalName="TaxCatchAll" ma:showField="CatchAllData" ma:web="bb2577a4-e538-4b10-86ef-b3bbf0723a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FDDD24-D41B-4A3F-83B9-E96546197662}">
  <ds:schemaRefs>
    <ds:schemaRef ds:uri="http://schemas.microsoft.com/office/2006/metadata/properties"/>
    <ds:schemaRef ds:uri="http://schemas.microsoft.com/office/infopath/2007/PartnerControls"/>
    <ds:schemaRef ds:uri="24cd3941-87d1-4217-8f91-a93c088c5e39"/>
    <ds:schemaRef ds:uri="bb2577a4-e538-4b10-86ef-b3bbf0723ad4"/>
  </ds:schemaRefs>
</ds:datastoreItem>
</file>

<file path=customXml/itemProps2.xml><?xml version="1.0" encoding="utf-8"?>
<ds:datastoreItem xmlns:ds="http://schemas.openxmlformats.org/officeDocument/2006/customXml" ds:itemID="{55775D4F-65EA-4CD9-8270-4F60F04E1F00}">
  <ds:schemaRefs>
    <ds:schemaRef ds:uri="http://schemas.microsoft.com/sharepoint/v3/contenttype/forms"/>
  </ds:schemaRefs>
</ds:datastoreItem>
</file>

<file path=customXml/itemProps3.xml><?xml version="1.0" encoding="utf-8"?>
<ds:datastoreItem xmlns:ds="http://schemas.openxmlformats.org/officeDocument/2006/customXml" ds:itemID="{B9339B96-8892-4C65-B53B-C3D3BA3EC9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cd3941-87d1-4217-8f91-a93c088c5e39"/>
    <ds:schemaRef ds:uri="bb2577a4-e538-4b10-86ef-b3bbf0723a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Rent and Occupancy Report</vt:lpstr>
      <vt:lpstr>Virginia Housing Limits</vt:lpstr>
      <vt:lpstr>IncomeTable</vt:lpstr>
      <vt:lpstr>RentTable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Hightman, Rachel A. - HCD</dc:creator>
  <cp:keywords/>
  <dc:description/>
  <cp:lastModifiedBy>Hightman, Rachel A. - HCD</cp:lastModifiedBy>
  <cp:revision/>
  <dcterms:created xsi:type="dcterms:W3CDTF">2015-06-05T18:17:20Z</dcterms:created>
  <dcterms:modified xsi:type="dcterms:W3CDTF">2026-03-24T20:46:04Z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0x0101008E3E82520C6AC04691A896FD000F040A</vt:lpwstr>
  </property>
  <property fmtid="{D5CDD505-2E9C-101B-9397-08002B2CF9AE}" pid="4" name="MediaServiceImageTags">
    <vt:lpwstr/>
  </property>
</Properties>
</file>