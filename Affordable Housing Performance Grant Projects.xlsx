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ichmondgov-my.sharepoint.com/personal/rachel_hightman1_rva_gov/Documents/Desktop/AHPG Package/"/>
    </mc:Choice>
  </mc:AlternateContent>
  <xr:revisionPtr revIDLastSave="10" documentId="8_{88833933-3F03-475A-B8B4-4B2D77E66780}" xr6:coauthVersionLast="47" xr6:coauthVersionMax="47" xr10:uidLastSave="{BF1215AD-6458-481C-A42F-A19B713D342C}"/>
  <bookViews>
    <workbookView xWindow="28680" yWindow="-120" windowWidth="29040" windowHeight="15720" xr2:uid="{BA42E6AD-C9A7-4161-B6CB-8A04AAAEBDDE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</calcChain>
</file>

<file path=xl/sharedStrings.xml><?xml version="1.0" encoding="utf-8"?>
<sst xmlns="http://schemas.openxmlformats.org/spreadsheetml/2006/main" count="286" uniqueCount="100">
  <si>
    <t>Award amount is estimated first-year grant amount</t>
  </si>
  <si>
    <t>FY29</t>
  </si>
  <si>
    <t>Pre-Development</t>
  </si>
  <si>
    <t>Multifamily New Construction (Rental)</t>
  </si>
  <si>
    <t>C0080660070, C0080660060, C0080660064</t>
  </si>
  <si>
    <t>Refuge Apartments, LP (Snead Road)</t>
  </si>
  <si>
    <t>Refuge Apartments, LP</t>
  </si>
  <si>
    <t>Tax Rebate</t>
  </si>
  <si>
    <t>City - Affordable Housing Performance Grant</t>
  </si>
  <si>
    <t>FY2026</t>
  </si>
  <si>
    <t>FY28</t>
  </si>
  <si>
    <t>S0000492001, S0000493002, S0000493007, S0000493001, S0000493021, S0000491024, S0000489001, S0000489005, S0000489012, S0000491038, S0000418001, S0000418003, S0000418019, S0000418021, S0000418022, S0000418023, and S0000418024</t>
  </si>
  <si>
    <t>ECG Semmes, LP</t>
  </si>
  <si>
    <t>EAHP</t>
  </si>
  <si>
    <t>Under Construction</t>
  </si>
  <si>
    <t>E0000318003</t>
  </si>
  <si>
    <t>809 Oliver Hill Way LLC</t>
  </si>
  <si>
    <t>FY2025</t>
  </si>
  <si>
    <t>S0000302008, S0000302012</t>
  </si>
  <si>
    <t>1903 Semmes LLC</t>
  </si>
  <si>
    <t>S0000197017</t>
  </si>
  <si>
    <t>1500 Hull Owner, LLC</t>
  </si>
  <si>
    <t>S0000153016, S0000153018</t>
  </si>
  <si>
    <t>1400 Hull Owner, LLC</t>
  </si>
  <si>
    <t>C0060925002</t>
  </si>
  <si>
    <t>Standard Development Partners, LLC (250 E. German School Road)</t>
  </si>
  <si>
    <t>C0050879008</t>
  </si>
  <si>
    <t>6951 Carnation Multifamily, LLC</t>
  </si>
  <si>
    <t>FY27</t>
  </si>
  <si>
    <t>ARPA</t>
  </si>
  <si>
    <t>N0000803002</t>
  </si>
  <si>
    <t>Saint Elizabeth Apartments LLC</t>
  </si>
  <si>
    <t>10/2/2024; Amended, 5/15/2025</t>
  </si>
  <si>
    <t>ARPA, HOME</t>
  </si>
  <si>
    <t>S0000354010, S0000354019</t>
  </si>
  <si>
    <t>Swansboro Place, LLC</t>
  </si>
  <si>
    <t>S0080418001</t>
  </si>
  <si>
    <t>Lynhaven Ridge VA LLC</t>
  </si>
  <si>
    <t>EAHP, ARPA</t>
  </si>
  <si>
    <t>S0000385004</t>
  </si>
  <si>
    <t>New Manchester Flats VI Multifamily, LLC</t>
  </si>
  <si>
    <t>EAHP, HOME</t>
  </si>
  <si>
    <t>N0000917006, N0000917013, N0000917014</t>
  </si>
  <si>
    <t>1203 E Brookland, LLC</t>
  </si>
  <si>
    <t>S0000220003</t>
  </si>
  <si>
    <t>The 95 Apts, LLC</t>
  </si>
  <si>
    <t>C0080745024, C0080745028, C0080745026, C0080745030, C0080745031, C0080745032, C0080745033</t>
  </si>
  <si>
    <t>Walmsley Senior, LLC</t>
  </si>
  <si>
    <t>Walmsley Gardens, LLC</t>
  </si>
  <si>
    <t>S0080237001</t>
  </si>
  <si>
    <t>Afton Avenue Apartments, LLC</t>
  </si>
  <si>
    <t>FY2024</t>
  </si>
  <si>
    <t>S0053315011</t>
  </si>
  <si>
    <t>700 West 44th, LP</t>
  </si>
  <si>
    <t>S0000080001</t>
  </si>
  <si>
    <t>The View at Belle Isle, LP</t>
  </si>
  <si>
    <t>FY26</t>
  </si>
  <si>
    <t>N0170390023</t>
  </si>
  <si>
    <t>Bellevue Gardens VA LLC</t>
  </si>
  <si>
    <t>S0000413001</t>
  </si>
  <si>
    <t>2100 Bainbridge, LLC</t>
  </si>
  <si>
    <t>Completed</t>
  </si>
  <si>
    <t>S0000863001</t>
  </si>
  <si>
    <t>Oak Grove Multifamily, LLC</t>
  </si>
  <si>
    <t>C0050776004</t>
  </si>
  <si>
    <t>7000 Carnation, LLC</t>
  </si>
  <si>
    <t>FY2023</t>
  </si>
  <si>
    <t>FY25</t>
  </si>
  <si>
    <t>S0000076001</t>
  </si>
  <si>
    <t>512 Hull Street, LLC</t>
  </si>
  <si>
    <t>Notes</t>
  </si>
  <si>
    <t>Expected Grant Commencement Fiscal Year</t>
  </si>
  <si>
    <t>Certificate of Occupancy Deadline</t>
  </si>
  <si>
    <t>Commence Construction Deadline</t>
  </si>
  <si>
    <t>Plan of Development Deadline</t>
  </si>
  <si>
    <t>Effective Date</t>
  </si>
  <si>
    <t>Other Sources of Funding</t>
  </si>
  <si>
    <t>Award Amount</t>
  </si>
  <si>
    <t>Market rate</t>
  </si>
  <si>
    <t>80% AMI</t>
  </si>
  <si>
    <t>51-80% AMI</t>
  </si>
  <si>
    <t>Avg 60% AMI</t>
  </si>
  <si>
    <t>Avg 50% AMI</t>
  </si>
  <si>
    <t>0-50% AMI</t>
  </si>
  <si>
    <t>60% AMI</t>
  </si>
  <si>
    <t>50% AMI</t>
  </si>
  <si>
    <t>40% AMI</t>
  </si>
  <si>
    <t>Affordable Units</t>
  </si>
  <si>
    <t>Total Units</t>
  </si>
  <si>
    <t>Fiscal Year Completion</t>
  </si>
  <si>
    <t>Completion Date/Expected Completion Date</t>
  </si>
  <si>
    <t>Construction Status</t>
  </si>
  <si>
    <r>
      <rPr>
        <b/>
        <sz val="11"/>
        <color rgb="FFFFFFFF"/>
        <rFont val="Calibri"/>
        <family val="2"/>
      </rPr>
      <t>Project Description</t>
    </r>
  </si>
  <si>
    <t>Parcel PIN</t>
  </si>
  <si>
    <t>City Council District</t>
  </si>
  <si>
    <r>
      <rPr>
        <b/>
        <sz val="11"/>
        <color rgb="FFFFFFFF"/>
        <rFont val="Calibri"/>
        <family val="2"/>
      </rPr>
      <t>Project Name</t>
    </r>
  </si>
  <si>
    <t>Subrecipient /Developer</t>
  </si>
  <si>
    <t>Funding Type</t>
  </si>
  <si>
    <t>Funding Source</t>
  </si>
  <si>
    <t>Award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</si>
</sst>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1F4E79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14" fontId="2" fillId="0" borderId="0" xfId="0" applyNumberFormat="1" applyFont="1"/>
    <xf numFmtId="14" fontId="2" fillId="2" borderId="0" xfId="0" applyNumberFormat="1" applyFont="1" applyFill="1"/>
    <xf numFmtId="44" fontId="3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wrapText="1"/>
    </xf>
    <xf numFmtId="14" fontId="1" fillId="0" borderId="0" xfId="0" applyNumberFormat="1" applyFont="1"/>
    <xf numFmtId="0" fontId="4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5" fillId="3" borderId="0" xfId="0" applyFont="1" applyFill="1" applyAlignment="1">
      <alignment horizontal="left" wrapText="1"/>
    </xf>
    <xf numFmtId="0" fontId="5" fillId="4" borderId="0" xfId="0" applyFont="1" applyFill="1" applyAlignment="1">
      <alignment horizontal="left" wrapText="1"/>
    </xf>
    <xf numFmtId="14" fontId="5" fillId="4" borderId="0" xfId="0" applyNumberFormat="1" applyFont="1" applyFill="1" applyAlignment="1">
      <alignment wrapText="1"/>
    </xf>
    <xf numFmtId="14" fontId="5" fillId="4" borderId="0" xfId="0" applyNumberFormat="1" applyFont="1" applyFill="1"/>
    <xf numFmtId="44" fontId="6" fillId="5" borderId="0" xfId="0" applyNumberFormat="1" applyFont="1" applyFill="1" applyAlignment="1">
      <alignment horizontal="left" wrapText="1"/>
    </xf>
    <xf numFmtId="0" fontId="7" fillId="3" borderId="0" xfId="0" applyFont="1" applyFill="1" applyAlignment="1">
      <alignment wrapText="1"/>
    </xf>
    <xf numFmtId="0" fontId="6" fillId="4" borderId="0" xfId="0" applyFont="1" applyFill="1" applyAlignment="1">
      <alignment horizontal="left" wrapText="1"/>
    </xf>
    <xf numFmtId="0" fontId="8" fillId="4" borderId="0" xfId="0" applyFont="1" applyFill="1" applyAlignment="1">
      <alignment horizontal="left" wrapText="1"/>
    </xf>
    <xf numFmtId="0" fontId="5" fillId="5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095E-336F-477E-98AB-984345F472DF}">
  <dimension ref="A1:AD26"/>
  <sheetViews>
    <sheetView tabSelected="1" topLeftCell="G1" workbookViewId="0">
      <selection activeCell="K1" sqref="K1:K1048576"/>
    </sheetView>
  </sheetViews>
  <sheetFormatPr defaultRowHeight="15" outlineLevelCol="1" x14ac:dyDescent="0.25"/>
  <cols>
    <col min="2" max="2" width="41.28515625" bestFit="1" customWidth="1"/>
    <col min="3" max="3" width="15.140625" bestFit="1" customWidth="1"/>
    <col min="4" max="5" width="60.28515625" bestFit="1" customWidth="1"/>
    <col min="6" max="6" width="7.5703125" bestFit="1" customWidth="1"/>
    <col min="7" max="7" width="38.28515625" bestFit="1" customWidth="1"/>
    <col min="8" max="8" width="36" bestFit="1" customWidth="1"/>
    <col min="9" max="9" width="18.42578125" bestFit="1" customWidth="1"/>
    <col min="10" max="10" width="16.5703125" bestFit="1" customWidth="1"/>
    <col min="11" max="11" width="11.42578125" bestFit="1" customWidth="1"/>
    <col min="12" max="12" width="5.7109375" style="2" bestFit="1" customWidth="1"/>
    <col min="13" max="13" width="10.5703125" style="2" bestFit="1" customWidth="1"/>
    <col min="14" max="21" width="11.140625" customWidth="1" outlineLevel="1"/>
    <col min="22" max="22" width="4.85546875" customWidth="1" outlineLevel="1"/>
    <col min="23" max="23" width="17.140625" bestFit="1" customWidth="1"/>
    <col min="24" max="24" width="13.5703125" bestFit="1" customWidth="1"/>
    <col min="25" max="25" width="13.5703125" style="1" bestFit="1" customWidth="1"/>
    <col min="26" max="26" width="13.28515625" style="1" bestFit="1" customWidth="1"/>
    <col min="27" max="28" width="13.5703125" style="1" customWidth="1"/>
    <col min="29" max="29" width="15.85546875" bestFit="1" customWidth="1"/>
    <col min="30" max="30" width="47.42578125" bestFit="1" customWidth="1"/>
  </cols>
  <sheetData>
    <row r="1" spans="1:30" s="3" customFormat="1" ht="45" x14ac:dyDescent="0.25">
      <c r="A1" s="26" t="s">
        <v>99</v>
      </c>
      <c r="B1" s="26" t="s">
        <v>98</v>
      </c>
      <c r="C1" s="26" t="s">
        <v>97</v>
      </c>
      <c r="D1" s="19" t="s">
        <v>96</v>
      </c>
      <c r="E1" s="25" t="s">
        <v>95</v>
      </c>
      <c r="F1" s="24" t="s">
        <v>94</v>
      </c>
      <c r="G1" s="24" t="s">
        <v>93</v>
      </c>
      <c r="H1" s="25" t="s">
        <v>92</v>
      </c>
      <c r="I1" s="24" t="s">
        <v>91</v>
      </c>
      <c r="J1" s="24" t="s">
        <v>90</v>
      </c>
      <c r="K1" s="24" t="s">
        <v>89</v>
      </c>
      <c r="L1" s="23" t="s">
        <v>88</v>
      </c>
      <c r="M1" s="23" t="s">
        <v>87</v>
      </c>
      <c r="N1" s="23" t="s">
        <v>86</v>
      </c>
      <c r="O1" s="23" t="s">
        <v>85</v>
      </c>
      <c r="P1" s="23" t="s">
        <v>84</v>
      </c>
      <c r="Q1" s="23" t="s">
        <v>83</v>
      </c>
      <c r="R1" s="23" t="s">
        <v>82</v>
      </c>
      <c r="S1" s="23" t="s">
        <v>81</v>
      </c>
      <c r="T1" s="23" t="s">
        <v>80</v>
      </c>
      <c r="U1" s="23" t="s">
        <v>79</v>
      </c>
      <c r="V1" s="23" t="s">
        <v>78</v>
      </c>
      <c r="W1" s="22" t="s">
        <v>77</v>
      </c>
      <c r="X1" s="19" t="s">
        <v>76</v>
      </c>
      <c r="Y1" s="21" t="s">
        <v>75</v>
      </c>
      <c r="Z1" s="20" t="s">
        <v>74</v>
      </c>
      <c r="AA1" s="20" t="s">
        <v>73</v>
      </c>
      <c r="AB1" s="20" t="s">
        <v>72</v>
      </c>
      <c r="AC1" s="19" t="s">
        <v>71</v>
      </c>
      <c r="AD1" s="18" t="s">
        <v>70</v>
      </c>
    </row>
    <row r="2" spans="1:30" s="3" customFormat="1" x14ac:dyDescent="0.25">
      <c r="A2" s="3" t="s">
        <v>17</v>
      </c>
      <c r="B2" s="3" t="s">
        <v>8</v>
      </c>
      <c r="C2" s="3" t="s">
        <v>7</v>
      </c>
      <c r="D2" s="12" t="s">
        <v>69</v>
      </c>
      <c r="E2" s="12" t="s">
        <v>69</v>
      </c>
      <c r="F2" s="12">
        <v>6</v>
      </c>
      <c r="G2" s="12" t="s">
        <v>68</v>
      </c>
      <c r="H2" s="10" t="s">
        <v>3</v>
      </c>
      <c r="I2" s="3" t="s">
        <v>61</v>
      </c>
      <c r="J2" s="17">
        <v>45251</v>
      </c>
      <c r="K2" s="3" t="str">
        <f>IF(AND(J2&gt;=DATE(2020,7,1), J2&lt;=DATE(2021,6,30)), "FY2021",
IF(AND(J2&gt;=DATE(2021,7,1), J2&lt;=DATE(2022,6,30)), "FY2022",
IF(AND(J2&gt;=DATE(2022,7,1), J2&lt;=DATE(2023,6,30)), "FY2023",
IF(AND(J2&gt;=DATE(2023,7,1), J2&lt;=DATE(2024,6,30)), "FY2024",
IF(AND(J2&gt;=DATE(2024,7,1), J2&lt;=DATE(2025,6,30)), "FY2025",
IF(AND(J2&gt;=DATE(2025,7,1), J2&lt;=DATE(2026,6,30)), "FY2026",
IF(AND(J2&gt;=DATE(2026,7,1), J2&lt;=DATE(2027,6,30)), "FY2027",
IF(AND(J2&gt;=DATE(2027,7,1), J2&lt;=DATE(2028,6,30)), "FY2028",
IF(AND(J2&gt;=DATE(2028,7,1), J2&lt;=DATE(2029,6,30)), "FY2029","")))))))))</f>
        <v>FY2024</v>
      </c>
      <c r="L2" s="8">
        <v>65</v>
      </c>
      <c r="M2" s="8">
        <v>50</v>
      </c>
      <c r="N2" s="7"/>
      <c r="O2" s="7"/>
      <c r="P2" s="7"/>
      <c r="Q2" s="7"/>
      <c r="R2" s="7">
        <v>50</v>
      </c>
      <c r="S2" s="7"/>
      <c r="T2" s="7"/>
      <c r="U2" s="7"/>
      <c r="V2" s="7">
        <v>15</v>
      </c>
      <c r="W2" s="6">
        <v>92772</v>
      </c>
      <c r="Y2" s="4">
        <v>45555</v>
      </c>
      <c r="Z2" s="4"/>
      <c r="AA2" s="4"/>
      <c r="AB2" s="4"/>
      <c r="AC2" s="4" t="s">
        <v>67</v>
      </c>
      <c r="AD2" s="3" t="s">
        <v>0</v>
      </c>
    </row>
    <row r="3" spans="1:30" s="3" customFormat="1" x14ac:dyDescent="0.25">
      <c r="A3" s="3" t="s">
        <v>66</v>
      </c>
      <c r="B3" s="3" t="s">
        <v>8</v>
      </c>
      <c r="C3" s="3" t="s">
        <v>7</v>
      </c>
      <c r="D3" s="12" t="s">
        <v>65</v>
      </c>
      <c r="E3" s="12" t="s">
        <v>65</v>
      </c>
      <c r="F3" s="12">
        <v>9</v>
      </c>
      <c r="G3" s="12" t="s">
        <v>64</v>
      </c>
      <c r="H3" s="10" t="s">
        <v>3</v>
      </c>
      <c r="I3" s="3" t="s">
        <v>61</v>
      </c>
      <c r="J3" s="17">
        <v>45628</v>
      </c>
      <c r="K3" s="3" t="str">
        <f>IF(AND(J3&gt;=DATE(2020,7,1), J3&lt;=DATE(2021,6,30)), "FY2021",
IF(AND(J3&gt;=DATE(2021,7,1), J3&lt;=DATE(2022,6,30)), "FY2022",
IF(AND(J3&gt;=DATE(2022,7,1), J3&lt;=DATE(2023,6,30)), "FY2023",
IF(AND(J3&gt;=DATE(2023,7,1), J3&lt;=DATE(2024,6,30)), "FY2024",
IF(AND(J3&gt;=DATE(2024,7,1), J3&lt;=DATE(2025,6,30)), "FY2025",
IF(AND(J3&gt;=DATE(2025,7,1), J3&lt;=DATE(2026,6,30)), "FY2026",
IF(AND(J3&gt;=DATE(2026,7,1), J3&lt;=DATE(2027,6,30)), "FY2027",
IF(AND(J3&gt;=DATE(2027,7,1), J3&lt;=DATE(2028,6,30)), "FY2028",
IF(AND(J3&gt;=DATE(2028,7,1), J3&lt;=DATE(2029,6,30)), "FY2029","")))))))))</f>
        <v>FY2025</v>
      </c>
      <c r="L3" s="8">
        <v>217</v>
      </c>
      <c r="M3" s="8">
        <v>217</v>
      </c>
      <c r="N3" s="7"/>
      <c r="O3" s="7"/>
      <c r="P3" s="7"/>
      <c r="Q3" s="7"/>
      <c r="R3" s="7"/>
      <c r="S3" s="7">
        <v>217</v>
      </c>
      <c r="T3" s="7"/>
      <c r="U3" s="7"/>
      <c r="V3" s="7"/>
      <c r="W3" s="6">
        <v>293832</v>
      </c>
      <c r="X3" s="3" t="s">
        <v>29</v>
      </c>
      <c r="Y3" s="4">
        <v>45009</v>
      </c>
      <c r="Z3" s="4">
        <v>45284</v>
      </c>
      <c r="AA3" s="4">
        <v>46105</v>
      </c>
      <c r="AB3" s="4">
        <v>47201</v>
      </c>
      <c r="AC3" s="7" t="s">
        <v>56</v>
      </c>
      <c r="AD3" s="3" t="s">
        <v>0</v>
      </c>
    </row>
    <row r="4" spans="1:30" s="3" customFormat="1" x14ac:dyDescent="0.25">
      <c r="A4" s="3" t="s">
        <v>51</v>
      </c>
      <c r="B4" s="3" t="s">
        <v>8</v>
      </c>
      <c r="C4" s="3" t="s">
        <v>7</v>
      </c>
      <c r="D4" s="12" t="s">
        <v>63</v>
      </c>
      <c r="E4" s="12" t="s">
        <v>63</v>
      </c>
      <c r="F4" s="12">
        <v>8</v>
      </c>
      <c r="G4" s="12" t="s">
        <v>62</v>
      </c>
      <c r="H4" s="10" t="s">
        <v>3</v>
      </c>
      <c r="I4" s="3" t="s">
        <v>61</v>
      </c>
      <c r="J4" s="17">
        <v>45863</v>
      </c>
      <c r="K4" s="3" t="str">
        <f>IF(AND(J4&gt;=DATE(2020,7,1), J4&lt;=DATE(2021,6,30)), "FY2021",
IF(AND(J4&gt;=DATE(2021,7,1), J4&lt;=DATE(2022,6,30)), "FY2022",
IF(AND(J4&gt;=DATE(2022,7,1), J4&lt;=DATE(2023,6,30)), "FY2023",
IF(AND(J4&gt;=DATE(2023,7,1), J4&lt;=DATE(2024,6,30)), "FY2024",
IF(AND(J4&gt;=DATE(2024,7,1), J4&lt;=DATE(2025,6,30)), "FY2025",
IF(AND(J4&gt;=DATE(2025,7,1), J4&lt;=DATE(2026,6,30)), "FY2026",
IF(AND(J4&gt;=DATE(2026,7,1), J4&lt;=DATE(2027,6,30)), "FY2027",
IF(AND(J4&gt;=DATE(2027,7,1), J4&lt;=DATE(2028,6,30)), "FY2028",
IF(AND(J4&gt;=DATE(2028,7,1), J4&lt;=DATE(2029,6,30)), "FY2029","")))))))))</f>
        <v>FY2026</v>
      </c>
      <c r="L4" s="8">
        <v>243</v>
      </c>
      <c r="M4" s="8">
        <v>243</v>
      </c>
      <c r="N4" s="7"/>
      <c r="O4" s="7"/>
      <c r="P4" s="7"/>
      <c r="Q4" s="7"/>
      <c r="R4" s="7"/>
      <c r="S4" s="7">
        <v>243</v>
      </c>
      <c r="T4" s="7"/>
      <c r="U4" s="7"/>
      <c r="V4" s="7"/>
      <c r="W4" s="6">
        <v>65930.33</v>
      </c>
      <c r="X4" s="3" t="s">
        <v>29</v>
      </c>
      <c r="Y4" s="4">
        <v>45258</v>
      </c>
      <c r="Z4" s="4">
        <v>45532</v>
      </c>
      <c r="AA4" s="4">
        <v>46081</v>
      </c>
      <c r="AB4" s="4">
        <v>47177</v>
      </c>
      <c r="AC4" s="7" t="s">
        <v>56</v>
      </c>
      <c r="AD4" s="3" t="s">
        <v>0</v>
      </c>
    </row>
    <row r="5" spans="1:30" s="3" customFormat="1" x14ac:dyDescent="0.25">
      <c r="A5" s="3" t="s">
        <v>51</v>
      </c>
      <c r="B5" s="3" t="s">
        <v>8</v>
      </c>
      <c r="C5" s="3" t="s">
        <v>7</v>
      </c>
      <c r="D5" s="12" t="s">
        <v>60</v>
      </c>
      <c r="E5" s="12" t="s">
        <v>60</v>
      </c>
      <c r="F5" s="12">
        <v>5</v>
      </c>
      <c r="G5" s="12" t="s">
        <v>59</v>
      </c>
      <c r="H5" s="10" t="s">
        <v>3</v>
      </c>
      <c r="I5" s="3" t="s">
        <v>14</v>
      </c>
      <c r="J5" s="9">
        <v>46022</v>
      </c>
      <c r="K5" s="3" t="str">
        <f>IF(AND(J5&gt;=DATE(2020,7,1), J5&lt;=DATE(2021,6,30)), "FY2021",
IF(AND(J5&gt;=DATE(2021,7,1), J5&lt;=DATE(2022,6,30)), "FY2022",
IF(AND(J5&gt;=DATE(2022,7,1), J5&lt;=DATE(2023,6,30)), "FY2023",
IF(AND(J5&gt;=DATE(2023,7,1), J5&lt;=DATE(2024,6,30)), "FY2024",
IF(AND(J5&gt;=DATE(2024,7,1), J5&lt;=DATE(2025,6,30)), "FY2025",
IF(AND(J5&gt;=DATE(2025,7,1), J5&lt;=DATE(2026,6,30)), "FY2026",
IF(AND(J5&gt;=DATE(2026,7,1), J5&lt;=DATE(2027,6,30)), "FY2027",
IF(AND(J5&gt;=DATE(2027,7,1), J5&lt;=DATE(2028,6,30)), "FY2028",
IF(AND(J5&gt;=DATE(2028,7,1), J5&lt;=DATE(2029,6,30)), "FY2029","")))))))))</f>
        <v>FY2026</v>
      </c>
      <c r="L5" s="8">
        <v>84</v>
      </c>
      <c r="M5" s="8">
        <v>84</v>
      </c>
      <c r="N5" s="7"/>
      <c r="O5" s="7"/>
      <c r="P5" s="7"/>
      <c r="Q5" s="7"/>
      <c r="R5" s="7"/>
      <c r="S5" s="7">
        <v>84</v>
      </c>
      <c r="T5" s="7"/>
      <c r="U5" s="7"/>
      <c r="V5" s="7"/>
      <c r="W5" s="6">
        <v>213470.54</v>
      </c>
      <c r="X5" s="3" t="s">
        <v>29</v>
      </c>
      <c r="Y5" s="4">
        <v>45296</v>
      </c>
      <c r="Z5" s="4">
        <v>45570</v>
      </c>
      <c r="AA5" s="4">
        <v>46117</v>
      </c>
      <c r="AB5" s="5">
        <v>47213</v>
      </c>
      <c r="AC5" s="7" t="s">
        <v>56</v>
      </c>
      <c r="AD5" s="3" t="s">
        <v>0</v>
      </c>
    </row>
    <row r="6" spans="1:30" s="3" customFormat="1" x14ac:dyDescent="0.25">
      <c r="A6" s="3" t="s">
        <v>9</v>
      </c>
      <c r="B6" s="3" t="s">
        <v>8</v>
      </c>
      <c r="C6" s="3" t="s">
        <v>7</v>
      </c>
      <c r="D6" s="12" t="s">
        <v>58</v>
      </c>
      <c r="E6" s="12" t="s">
        <v>58</v>
      </c>
      <c r="F6" s="12">
        <v>3</v>
      </c>
      <c r="G6" s="12" t="s">
        <v>57</v>
      </c>
      <c r="H6" s="10" t="s">
        <v>3</v>
      </c>
      <c r="I6" s="3" t="s">
        <v>14</v>
      </c>
      <c r="J6" s="9">
        <v>46007</v>
      </c>
      <c r="K6" s="3" t="str">
        <f>IF(AND(J6&gt;=DATE(2020,7,1), J6&lt;=DATE(2021,6,30)), "FY2021",
IF(AND(J6&gt;=DATE(2021,7,1), J6&lt;=DATE(2022,6,30)), "FY2022",
IF(AND(J6&gt;=DATE(2022,7,1), J6&lt;=DATE(2023,6,30)), "FY2023",
IF(AND(J6&gt;=DATE(2023,7,1), J6&lt;=DATE(2024,6,30)), "FY2024",
IF(AND(J6&gt;=DATE(2024,7,1), J6&lt;=DATE(2025,6,30)), "FY2025",
IF(AND(J6&gt;=DATE(2025,7,1), J6&lt;=DATE(2026,6,30)), "FY2026",
IF(AND(J6&gt;=DATE(2026,7,1), J6&lt;=DATE(2027,6,30)), "FY2027",
IF(AND(J6&gt;=DATE(2027,7,1), J6&lt;=DATE(2028,6,30)), "FY2028",
IF(AND(J6&gt;=DATE(2028,7,1), J6&lt;=DATE(2029,6,30)), "FY2029","")))))))))</f>
        <v>FY2026</v>
      </c>
      <c r="L6" s="8">
        <v>78</v>
      </c>
      <c r="M6" s="8">
        <v>78</v>
      </c>
      <c r="N6" s="7"/>
      <c r="O6" s="7"/>
      <c r="P6" s="7"/>
      <c r="Q6" s="7"/>
      <c r="R6" s="7"/>
      <c r="S6" s="7">
        <v>78</v>
      </c>
      <c r="T6" s="7"/>
      <c r="U6" s="7"/>
      <c r="V6" s="7"/>
      <c r="W6" s="6">
        <v>153457.49</v>
      </c>
      <c r="X6" s="3" t="s">
        <v>13</v>
      </c>
      <c r="Y6" s="4">
        <v>45986</v>
      </c>
      <c r="Z6" s="15">
        <v>46259</v>
      </c>
      <c r="AA6" s="4">
        <v>46471</v>
      </c>
      <c r="AB6" s="4">
        <v>47567</v>
      </c>
      <c r="AC6" s="7" t="s">
        <v>56</v>
      </c>
      <c r="AD6" s="3" t="s">
        <v>0</v>
      </c>
    </row>
    <row r="7" spans="1:30" s="3" customFormat="1" x14ac:dyDescent="0.25">
      <c r="A7" s="3" t="s">
        <v>51</v>
      </c>
      <c r="B7" s="3" t="s">
        <v>8</v>
      </c>
      <c r="C7" s="3" t="s">
        <v>7</v>
      </c>
      <c r="D7" s="12" t="s">
        <v>55</v>
      </c>
      <c r="E7" s="12" t="s">
        <v>55</v>
      </c>
      <c r="F7" s="12">
        <v>6</v>
      </c>
      <c r="G7" s="12" t="s">
        <v>54</v>
      </c>
      <c r="H7" s="10" t="s">
        <v>3</v>
      </c>
      <c r="I7" s="3" t="s">
        <v>14</v>
      </c>
      <c r="J7" s="9">
        <v>46143</v>
      </c>
      <c r="K7" s="3" t="str">
        <f>IF(AND(J7&gt;=DATE(2020,7,1), J7&lt;=DATE(2021,6,30)), "FY2021",
IF(AND(J7&gt;=DATE(2021,7,1), J7&lt;=DATE(2022,6,30)), "FY2022",
IF(AND(J7&gt;=DATE(2022,7,1), J7&lt;=DATE(2023,6,30)), "FY2023",
IF(AND(J7&gt;=DATE(2023,7,1), J7&lt;=DATE(2024,6,30)), "FY2024",
IF(AND(J7&gt;=DATE(2024,7,1), J7&lt;=DATE(2025,6,30)), "FY2025",
IF(AND(J7&gt;=DATE(2025,7,1), J7&lt;=DATE(2026,6,30)), "FY2026",
IF(AND(J7&gt;=DATE(2026,7,1), J7&lt;=DATE(2027,6,30)), "FY2027",
IF(AND(J7&gt;=DATE(2027,7,1), J7&lt;=DATE(2028,6,30)), "FY2028",
IF(AND(J7&gt;=DATE(2028,7,1), J7&lt;=DATE(2029,6,30)), "FY2029","")))))))))</f>
        <v>FY2026</v>
      </c>
      <c r="L7" s="8">
        <v>116</v>
      </c>
      <c r="M7" s="8">
        <v>116</v>
      </c>
      <c r="N7" s="7"/>
      <c r="O7" s="7"/>
      <c r="P7" s="7"/>
      <c r="Q7" s="7"/>
      <c r="R7" s="7"/>
      <c r="S7" s="7">
        <v>116</v>
      </c>
      <c r="T7" s="7"/>
      <c r="U7" s="7"/>
      <c r="V7" s="7"/>
      <c r="W7" s="6">
        <v>406195.82</v>
      </c>
      <c r="X7" s="3" t="s">
        <v>29</v>
      </c>
      <c r="Y7" s="4">
        <v>45296</v>
      </c>
      <c r="Z7" s="4">
        <v>45570</v>
      </c>
      <c r="AA7" s="4">
        <v>46117</v>
      </c>
      <c r="AB7" s="4">
        <v>47213</v>
      </c>
      <c r="AC7" s="7" t="s">
        <v>28</v>
      </c>
      <c r="AD7" s="3" t="s">
        <v>0</v>
      </c>
    </row>
    <row r="8" spans="1:30" s="3" customFormat="1" x14ac:dyDescent="0.25">
      <c r="A8" s="3" t="s">
        <v>51</v>
      </c>
      <c r="B8" s="3" t="s">
        <v>8</v>
      </c>
      <c r="C8" s="3" t="s">
        <v>7</v>
      </c>
      <c r="D8" s="12" t="s">
        <v>53</v>
      </c>
      <c r="E8" s="12" t="s">
        <v>53</v>
      </c>
      <c r="F8" s="12">
        <v>5</v>
      </c>
      <c r="G8" s="12" t="s">
        <v>52</v>
      </c>
      <c r="H8" s="10" t="s">
        <v>3</v>
      </c>
      <c r="I8" s="3" t="s">
        <v>14</v>
      </c>
      <c r="J8" s="9">
        <v>46204</v>
      </c>
      <c r="K8" s="3" t="str">
        <f>IF(AND(J8&gt;=DATE(2020,7,1), J8&lt;=DATE(2021,6,30)), "FY2021",
IF(AND(J8&gt;=DATE(2021,7,1), J8&lt;=DATE(2022,6,30)), "FY2022",
IF(AND(J8&gt;=DATE(2022,7,1), J8&lt;=DATE(2023,6,30)), "FY2023",
IF(AND(J8&gt;=DATE(2023,7,1), J8&lt;=DATE(2024,6,30)), "FY2024",
IF(AND(J8&gt;=DATE(2024,7,1), J8&lt;=DATE(2025,6,30)), "FY2025",
IF(AND(J8&gt;=DATE(2025,7,1), J8&lt;=DATE(2026,6,30)), "FY2026",
IF(AND(J8&gt;=DATE(2026,7,1), J8&lt;=DATE(2027,6,30)), "FY2027",
IF(AND(J8&gt;=DATE(2027,7,1), J8&lt;=DATE(2028,6,30)), "FY2028",
IF(AND(J8&gt;=DATE(2028,7,1), J8&lt;=DATE(2029,6,30)), "FY2029","")))))))))</f>
        <v>FY2027</v>
      </c>
      <c r="L8" s="8">
        <v>144</v>
      </c>
      <c r="M8" s="8">
        <v>144</v>
      </c>
      <c r="N8" s="7"/>
      <c r="O8" s="7"/>
      <c r="P8" s="7"/>
      <c r="Q8" s="7"/>
      <c r="R8" s="7"/>
      <c r="S8" s="7">
        <v>144</v>
      </c>
      <c r="T8" s="7"/>
      <c r="U8" s="7"/>
      <c r="V8" s="7"/>
      <c r="W8" s="6">
        <v>256675.76</v>
      </c>
      <c r="X8" s="3" t="s">
        <v>29</v>
      </c>
      <c r="Y8" s="4">
        <v>45296</v>
      </c>
      <c r="Z8" s="4">
        <v>45570</v>
      </c>
      <c r="AA8" s="4">
        <v>46117</v>
      </c>
      <c r="AB8" s="4">
        <v>47213</v>
      </c>
      <c r="AC8" s="7" t="s">
        <v>28</v>
      </c>
      <c r="AD8" s="3" t="s">
        <v>0</v>
      </c>
    </row>
    <row r="9" spans="1:30" s="3" customFormat="1" x14ac:dyDescent="0.25">
      <c r="A9" s="3" t="s">
        <v>51</v>
      </c>
      <c r="B9" s="3" t="s">
        <v>8</v>
      </c>
      <c r="C9" s="3" t="s">
        <v>7</v>
      </c>
      <c r="D9" s="12" t="s">
        <v>50</v>
      </c>
      <c r="E9" s="12" t="s">
        <v>50</v>
      </c>
      <c r="F9" s="12">
        <v>8</v>
      </c>
      <c r="G9" s="12" t="s">
        <v>49</v>
      </c>
      <c r="H9" s="10" t="s">
        <v>3</v>
      </c>
      <c r="I9" s="3" t="s">
        <v>14</v>
      </c>
      <c r="J9" s="9">
        <v>46295</v>
      </c>
      <c r="K9" s="3" t="str">
        <f>IF(AND(J9&gt;=DATE(2020,7,1), J9&lt;=DATE(2021,6,30)), "FY2021",
IF(AND(J9&gt;=DATE(2021,7,1), J9&lt;=DATE(2022,6,30)), "FY2022",
IF(AND(J9&gt;=DATE(2022,7,1), J9&lt;=DATE(2023,6,30)), "FY2023",
IF(AND(J9&gt;=DATE(2023,7,1), J9&lt;=DATE(2024,6,30)), "FY2024",
IF(AND(J9&gt;=DATE(2024,7,1), J9&lt;=DATE(2025,6,30)), "FY2025",
IF(AND(J9&gt;=DATE(2025,7,1), J9&lt;=DATE(2026,6,30)), "FY2026",
IF(AND(J9&gt;=DATE(2026,7,1), J9&lt;=DATE(2027,6,30)), "FY2027",
IF(AND(J9&gt;=DATE(2027,7,1), J9&lt;=DATE(2028,6,30)), "FY2028",
IF(AND(J9&gt;=DATE(2028,7,1), J9&lt;=DATE(2029,6,30)), "FY2029","")))))))))</f>
        <v>FY2027</v>
      </c>
      <c r="L9" s="8">
        <v>150</v>
      </c>
      <c r="M9" s="8">
        <v>150</v>
      </c>
      <c r="N9" s="7"/>
      <c r="O9" s="7"/>
      <c r="P9" s="7"/>
      <c r="Q9" s="7"/>
      <c r="R9" s="7"/>
      <c r="S9" s="7">
        <v>150</v>
      </c>
      <c r="T9" s="7"/>
      <c r="U9" s="7"/>
      <c r="V9" s="7"/>
      <c r="W9" s="6">
        <v>425220.25</v>
      </c>
      <c r="X9" s="3" t="s">
        <v>29</v>
      </c>
      <c r="Y9" s="4">
        <v>45296</v>
      </c>
      <c r="Z9" s="4">
        <v>45570</v>
      </c>
      <c r="AA9" s="4">
        <v>46117</v>
      </c>
      <c r="AB9" s="4">
        <v>47213</v>
      </c>
      <c r="AC9" s="7" t="s">
        <v>28</v>
      </c>
      <c r="AD9" s="3" t="s">
        <v>0</v>
      </c>
    </row>
    <row r="10" spans="1:30" s="3" customFormat="1" ht="45" x14ac:dyDescent="0.25">
      <c r="A10" s="3" t="s">
        <v>17</v>
      </c>
      <c r="B10" s="3" t="s">
        <v>8</v>
      </c>
      <c r="C10" s="3" t="s">
        <v>7</v>
      </c>
      <c r="D10" s="12" t="s">
        <v>48</v>
      </c>
      <c r="E10" s="12" t="s">
        <v>48</v>
      </c>
      <c r="F10" s="12">
        <v>9</v>
      </c>
      <c r="G10" s="11" t="s">
        <v>46</v>
      </c>
      <c r="H10" s="10" t="s">
        <v>3</v>
      </c>
      <c r="I10" s="3" t="s">
        <v>14</v>
      </c>
      <c r="J10" s="9">
        <v>46266</v>
      </c>
      <c r="K10" s="3" t="str">
        <f>IF(AND(J10&gt;=DATE(2020,7,1), J10&lt;=DATE(2021,6,30)), "FY2021",
IF(AND(J10&gt;=DATE(2021,7,1), J10&lt;=DATE(2022,6,30)), "FY2022",
IF(AND(J10&gt;=DATE(2022,7,1), J10&lt;=DATE(2023,6,30)), "FY2023",
IF(AND(J10&gt;=DATE(2023,7,1), J10&lt;=DATE(2024,6,30)), "FY2024",
IF(AND(J10&gt;=DATE(2024,7,1), J10&lt;=DATE(2025,6,30)), "FY2025",
IF(AND(J10&gt;=DATE(2025,7,1), J10&lt;=DATE(2026,6,30)), "FY2026",
IF(AND(J10&gt;=DATE(2026,7,1), J10&lt;=DATE(2027,6,30)), "FY2027",
IF(AND(J10&gt;=DATE(2027,7,1), J10&lt;=DATE(2028,6,30)), "FY2028",
IF(AND(J10&gt;=DATE(2028,7,1), J10&lt;=DATE(2029,6,30)), "FY2029","")))))))))</f>
        <v>FY2027</v>
      </c>
      <c r="L10" s="8">
        <v>216</v>
      </c>
      <c r="M10" s="8">
        <v>216</v>
      </c>
      <c r="N10" s="7"/>
      <c r="O10" s="7"/>
      <c r="P10" s="7"/>
      <c r="Q10" s="7"/>
      <c r="R10" s="7"/>
      <c r="S10" s="7">
        <v>216</v>
      </c>
      <c r="T10" s="7"/>
      <c r="U10" s="7"/>
      <c r="V10" s="7"/>
      <c r="W10" s="6">
        <v>743415.73</v>
      </c>
      <c r="X10" s="3" t="s">
        <v>29</v>
      </c>
      <c r="Y10" s="4">
        <v>45485</v>
      </c>
      <c r="Z10" s="4">
        <v>45759</v>
      </c>
      <c r="AA10" s="4">
        <v>46307</v>
      </c>
      <c r="AB10" s="4">
        <v>48133</v>
      </c>
      <c r="AC10" s="7" t="s">
        <v>28</v>
      </c>
      <c r="AD10" s="3" t="s">
        <v>0</v>
      </c>
    </row>
    <row r="11" spans="1:30" s="3" customFormat="1" ht="45" x14ac:dyDescent="0.25">
      <c r="A11" s="3" t="s">
        <v>17</v>
      </c>
      <c r="B11" s="3" t="s">
        <v>8</v>
      </c>
      <c r="C11" s="3" t="s">
        <v>7</v>
      </c>
      <c r="D11" s="12" t="s">
        <v>47</v>
      </c>
      <c r="E11" s="12" t="s">
        <v>47</v>
      </c>
      <c r="F11" s="12">
        <v>9</v>
      </c>
      <c r="G11" s="11" t="s">
        <v>46</v>
      </c>
      <c r="H11" s="10" t="s">
        <v>3</v>
      </c>
      <c r="I11" s="3" t="s">
        <v>14</v>
      </c>
      <c r="J11" s="9">
        <v>46266</v>
      </c>
      <c r="K11" s="3" t="str">
        <f>IF(AND(J11&gt;=DATE(2020,7,1), J11&lt;=DATE(2021,6,30)), "FY2021",
IF(AND(J11&gt;=DATE(2021,7,1), J11&lt;=DATE(2022,6,30)), "FY2022",
IF(AND(J11&gt;=DATE(2022,7,1), J11&lt;=DATE(2023,6,30)), "FY2023",
IF(AND(J11&gt;=DATE(2023,7,1), J11&lt;=DATE(2024,6,30)), "FY2024",
IF(AND(J11&gt;=DATE(2024,7,1), J11&lt;=DATE(2025,6,30)), "FY2025",
IF(AND(J11&gt;=DATE(2025,7,1), J11&lt;=DATE(2026,6,30)), "FY2026",
IF(AND(J11&gt;=DATE(2026,7,1), J11&lt;=DATE(2027,6,30)), "FY2027",
IF(AND(J11&gt;=DATE(2027,7,1), J11&lt;=DATE(2028,6,30)), "FY2028",
IF(AND(J11&gt;=DATE(2028,7,1), J11&lt;=DATE(2029,6,30)), "FY2029","")))))))))</f>
        <v>FY2027</v>
      </c>
      <c r="L11" s="8">
        <f t="shared" ref="L11:L25" si="0">SUM(N11:V11)</f>
        <v>128</v>
      </c>
      <c r="M11" s="8">
        <f t="shared" ref="M11:M25" si="1">SUM(N11:U11)</f>
        <v>128</v>
      </c>
      <c r="N11" s="7"/>
      <c r="O11" s="7"/>
      <c r="P11" s="7"/>
      <c r="Q11" s="7"/>
      <c r="R11" s="7"/>
      <c r="S11" s="7">
        <v>128</v>
      </c>
      <c r="T11" s="7"/>
      <c r="U11" s="7"/>
      <c r="V11" s="7"/>
      <c r="W11" s="6">
        <v>350457.84</v>
      </c>
      <c r="Y11" s="4">
        <v>45485</v>
      </c>
      <c r="Z11" s="4">
        <v>45759</v>
      </c>
      <c r="AA11" s="4">
        <v>46308</v>
      </c>
      <c r="AB11" s="4">
        <v>48134</v>
      </c>
      <c r="AC11" s="7" t="s">
        <v>28</v>
      </c>
      <c r="AD11" s="3" t="s">
        <v>0</v>
      </c>
    </row>
    <row r="12" spans="1:30" s="3" customFormat="1" x14ac:dyDescent="0.25">
      <c r="A12" s="3" t="s">
        <v>17</v>
      </c>
      <c r="B12" s="3" t="s">
        <v>8</v>
      </c>
      <c r="C12" s="3" t="s">
        <v>7</v>
      </c>
      <c r="D12" s="12" t="s">
        <v>45</v>
      </c>
      <c r="E12" s="12" t="s">
        <v>45</v>
      </c>
      <c r="F12" s="12">
        <v>6</v>
      </c>
      <c r="G12" s="12" t="s">
        <v>44</v>
      </c>
      <c r="H12" s="10" t="s">
        <v>3</v>
      </c>
      <c r="I12" s="3" t="s">
        <v>14</v>
      </c>
      <c r="J12" s="9">
        <v>46174</v>
      </c>
      <c r="K12" s="3" t="str">
        <f>IF(AND(J12&gt;=DATE(2020,7,1), J12&lt;=DATE(2021,6,30)), "FY2021",
IF(AND(J12&gt;=DATE(2021,7,1), J12&lt;=DATE(2022,6,30)), "FY2022",
IF(AND(J12&gt;=DATE(2022,7,1), J12&lt;=DATE(2023,6,30)), "FY2023",
IF(AND(J12&gt;=DATE(2023,7,1), J12&lt;=DATE(2024,6,30)), "FY2024",
IF(AND(J12&gt;=DATE(2024,7,1), J12&lt;=DATE(2025,6,30)), "FY2025",
IF(AND(J12&gt;=DATE(2025,7,1), J12&lt;=DATE(2026,6,30)), "FY2026",
IF(AND(J12&gt;=DATE(2026,7,1), J12&lt;=DATE(2027,6,30)), "FY2027",
IF(AND(J12&gt;=DATE(2027,7,1), J12&lt;=DATE(2028,6,30)), "FY2028",
IF(AND(J12&gt;=DATE(2028,7,1), J12&lt;=DATE(2029,6,30)), "FY2029","")))))))))</f>
        <v>FY2026</v>
      </c>
      <c r="L12" s="8">
        <f t="shared" si="0"/>
        <v>162</v>
      </c>
      <c r="M12" s="8">
        <f t="shared" si="1"/>
        <v>49</v>
      </c>
      <c r="N12" s="7"/>
      <c r="O12" s="7"/>
      <c r="P12" s="7"/>
      <c r="Q12" s="7"/>
      <c r="R12" s="7"/>
      <c r="S12" s="7"/>
      <c r="T12" s="7"/>
      <c r="U12" s="7">
        <v>49</v>
      </c>
      <c r="V12" s="7">
        <v>113</v>
      </c>
      <c r="W12" s="6">
        <v>100486.04</v>
      </c>
      <c r="X12" s="3" t="s">
        <v>29</v>
      </c>
      <c r="Y12" s="5">
        <v>45618</v>
      </c>
      <c r="Z12" s="4">
        <v>45891</v>
      </c>
      <c r="AA12" s="4">
        <v>46440</v>
      </c>
      <c r="AB12" s="4">
        <v>47536</v>
      </c>
      <c r="AC12" s="7" t="s">
        <v>28</v>
      </c>
      <c r="AD12" s="3" t="s">
        <v>0</v>
      </c>
    </row>
    <row r="13" spans="1:30" s="3" customFormat="1" x14ac:dyDescent="0.25">
      <c r="A13" s="3" t="s">
        <v>17</v>
      </c>
      <c r="B13" s="3" t="s">
        <v>8</v>
      </c>
      <c r="C13" s="3" t="s">
        <v>7</v>
      </c>
      <c r="D13" s="12" t="s">
        <v>43</v>
      </c>
      <c r="E13" s="12" t="s">
        <v>43</v>
      </c>
      <c r="F13" s="12">
        <v>6</v>
      </c>
      <c r="G13" s="12" t="s">
        <v>42</v>
      </c>
      <c r="H13" s="10" t="s">
        <v>3</v>
      </c>
      <c r="I13" s="3" t="s">
        <v>14</v>
      </c>
      <c r="J13" s="9">
        <v>46082</v>
      </c>
      <c r="K13" s="3" t="str">
        <f>IF(AND(J13&gt;=DATE(2020,7,1), J13&lt;=DATE(2021,6,30)), "FY2021",
IF(AND(J13&gt;=DATE(2021,7,1), J13&lt;=DATE(2022,6,30)), "FY2022",
IF(AND(J13&gt;=DATE(2022,7,1), J13&lt;=DATE(2023,6,30)), "FY2023",
IF(AND(J13&gt;=DATE(2023,7,1), J13&lt;=DATE(2024,6,30)), "FY2024",
IF(AND(J13&gt;=DATE(2024,7,1), J13&lt;=DATE(2025,6,30)), "FY2025",
IF(AND(J13&gt;=DATE(2025,7,1), J13&lt;=DATE(2026,6,30)), "FY2026",
IF(AND(J13&gt;=DATE(2026,7,1), J13&lt;=DATE(2027,6,30)), "FY2027",
IF(AND(J13&gt;=DATE(2027,7,1), J13&lt;=DATE(2028,6,30)), "FY2028",
IF(AND(J13&gt;=DATE(2028,7,1), J13&lt;=DATE(2029,6,30)), "FY2029","")))))))))</f>
        <v>FY2026</v>
      </c>
      <c r="L13" s="8">
        <f t="shared" si="0"/>
        <v>43</v>
      </c>
      <c r="M13" s="8">
        <f t="shared" si="1"/>
        <v>43</v>
      </c>
      <c r="N13" s="7"/>
      <c r="O13" s="7"/>
      <c r="P13" s="7"/>
      <c r="Q13" s="7"/>
      <c r="R13" s="7"/>
      <c r="S13" s="7">
        <v>43</v>
      </c>
      <c r="T13" s="7"/>
      <c r="U13" s="7"/>
      <c r="V13" s="7"/>
      <c r="W13" s="6">
        <v>154819.47</v>
      </c>
      <c r="X13" s="3" t="s">
        <v>41</v>
      </c>
      <c r="Y13" s="4">
        <v>45588</v>
      </c>
      <c r="Z13" s="4">
        <v>45861</v>
      </c>
      <c r="AA13" s="4">
        <v>46410</v>
      </c>
      <c r="AB13" s="4">
        <v>47506</v>
      </c>
      <c r="AC13" s="7" t="s">
        <v>28</v>
      </c>
      <c r="AD13" s="3" t="s">
        <v>0</v>
      </c>
    </row>
    <row r="14" spans="1:30" s="3" customFormat="1" x14ac:dyDescent="0.25">
      <c r="A14" s="3" t="s">
        <v>17</v>
      </c>
      <c r="B14" s="3" t="s">
        <v>8</v>
      </c>
      <c r="C14" s="3" t="s">
        <v>7</v>
      </c>
      <c r="D14" s="12" t="s">
        <v>40</v>
      </c>
      <c r="E14" s="12" t="s">
        <v>40</v>
      </c>
      <c r="F14" s="12">
        <v>6</v>
      </c>
      <c r="G14" s="12" t="s">
        <v>39</v>
      </c>
      <c r="H14" s="10" t="s">
        <v>3</v>
      </c>
      <c r="I14" s="3" t="s">
        <v>14</v>
      </c>
      <c r="J14" s="9">
        <v>46155</v>
      </c>
      <c r="K14" s="3" t="str">
        <f>IF(AND(J14&gt;=DATE(2020,7,1), J14&lt;=DATE(2021,6,30)), "FY2021",
IF(AND(J14&gt;=DATE(2021,7,1), J14&lt;=DATE(2022,6,30)), "FY2022",
IF(AND(J14&gt;=DATE(2022,7,1), J14&lt;=DATE(2023,6,30)), "FY2023",
IF(AND(J14&gt;=DATE(2023,7,1), J14&lt;=DATE(2024,6,30)), "FY2024",
IF(AND(J14&gt;=DATE(2024,7,1), J14&lt;=DATE(2025,6,30)), "FY2025",
IF(AND(J14&gt;=DATE(2025,7,1), J14&lt;=DATE(2026,6,30)), "FY2026",
IF(AND(J14&gt;=DATE(2026,7,1), J14&lt;=DATE(2027,6,30)), "FY2027",
IF(AND(J14&gt;=DATE(2027,7,1), J14&lt;=DATE(2028,6,30)), "FY2028",
IF(AND(J14&gt;=DATE(2028,7,1), J14&lt;=DATE(2029,6,30)), "FY2029","")))))))))</f>
        <v>FY2026</v>
      </c>
      <c r="L14" s="8">
        <f t="shared" si="0"/>
        <v>127</v>
      </c>
      <c r="M14" s="8">
        <f t="shared" si="1"/>
        <v>127</v>
      </c>
      <c r="N14" s="7"/>
      <c r="O14" s="7"/>
      <c r="P14" s="7"/>
      <c r="Q14" s="7"/>
      <c r="R14" s="7"/>
      <c r="S14" s="7">
        <v>127</v>
      </c>
      <c r="T14" s="7"/>
      <c r="U14" s="7"/>
      <c r="V14" s="7"/>
      <c r="W14" s="6">
        <v>281863.90000000002</v>
      </c>
      <c r="X14" s="3" t="s">
        <v>38</v>
      </c>
      <c r="Y14" s="4">
        <v>45637</v>
      </c>
      <c r="Z14" s="4">
        <v>45870</v>
      </c>
      <c r="AA14" s="4">
        <v>46419</v>
      </c>
      <c r="AB14" s="4">
        <v>47515</v>
      </c>
      <c r="AC14" s="7" t="s">
        <v>28</v>
      </c>
      <c r="AD14" s="3" t="s">
        <v>0</v>
      </c>
    </row>
    <row r="15" spans="1:30" s="3" customFormat="1" x14ac:dyDescent="0.25">
      <c r="A15" s="3" t="s">
        <v>9</v>
      </c>
      <c r="B15" s="3" t="s">
        <v>8</v>
      </c>
      <c r="C15" s="3" t="s">
        <v>7</v>
      </c>
      <c r="D15" s="12" t="s">
        <v>37</v>
      </c>
      <c r="E15" s="12" t="s">
        <v>37</v>
      </c>
      <c r="F15" s="12">
        <v>8</v>
      </c>
      <c r="G15" s="12" t="s">
        <v>36</v>
      </c>
      <c r="H15" s="10" t="s">
        <v>3</v>
      </c>
      <c r="I15" s="3" t="s">
        <v>14</v>
      </c>
      <c r="J15" s="9">
        <v>46337</v>
      </c>
      <c r="K15" s="3" t="str">
        <f>IF(AND(J15&gt;=DATE(2020,7,1), J15&lt;=DATE(2021,6,30)), "FY2021",
IF(AND(J15&gt;=DATE(2021,7,1), J15&lt;=DATE(2022,6,30)), "FY2022",
IF(AND(J15&gt;=DATE(2022,7,1), J15&lt;=DATE(2023,6,30)), "FY2023",
IF(AND(J15&gt;=DATE(2023,7,1), J15&lt;=DATE(2024,6,30)), "FY2024",
IF(AND(J15&gt;=DATE(2024,7,1), J15&lt;=DATE(2025,6,30)), "FY2025",
IF(AND(J15&gt;=DATE(2025,7,1), J15&lt;=DATE(2026,6,30)), "FY2026",
IF(AND(J15&gt;=DATE(2026,7,1), J15&lt;=DATE(2027,6,30)), "FY2027",
IF(AND(J15&gt;=DATE(2027,7,1), J15&lt;=DATE(2028,6,30)), "FY2028",
IF(AND(J15&gt;=DATE(2028,7,1), J15&lt;=DATE(2029,6,30)), "FY2029","")))))))))</f>
        <v>FY2027</v>
      </c>
      <c r="L15" s="8">
        <f t="shared" si="0"/>
        <v>50</v>
      </c>
      <c r="M15" s="8">
        <f t="shared" si="1"/>
        <v>50</v>
      </c>
      <c r="N15" s="7"/>
      <c r="O15" s="7"/>
      <c r="P15" s="7"/>
      <c r="Q15" s="7"/>
      <c r="R15" s="7"/>
      <c r="S15" s="7">
        <v>50</v>
      </c>
      <c r="T15" s="7"/>
      <c r="U15" s="7"/>
      <c r="V15" s="7"/>
      <c r="W15" s="6">
        <v>134004.93</v>
      </c>
      <c r="Y15" s="4">
        <v>45891</v>
      </c>
      <c r="Z15" s="4">
        <v>46164</v>
      </c>
      <c r="AA15" s="4">
        <v>46440</v>
      </c>
      <c r="AB15" s="4">
        <v>47536</v>
      </c>
      <c r="AC15" s="4" t="s">
        <v>28</v>
      </c>
      <c r="AD15" s="3" t="s">
        <v>0</v>
      </c>
    </row>
    <row r="16" spans="1:30" s="3" customFormat="1" x14ac:dyDescent="0.25">
      <c r="A16" s="3" t="s">
        <v>17</v>
      </c>
      <c r="B16" s="3" t="s">
        <v>8</v>
      </c>
      <c r="C16" s="3" t="s">
        <v>7</v>
      </c>
      <c r="D16" s="12" t="s">
        <v>35</v>
      </c>
      <c r="E16" s="12" t="s">
        <v>35</v>
      </c>
      <c r="F16" s="12">
        <v>8</v>
      </c>
      <c r="G16" s="12" t="s">
        <v>34</v>
      </c>
      <c r="H16" s="10" t="s">
        <v>3</v>
      </c>
      <c r="I16" s="3" t="s">
        <v>14</v>
      </c>
      <c r="J16" s="9">
        <v>46296</v>
      </c>
      <c r="K16" s="3" t="str">
        <f>IF(AND(J16&gt;=DATE(2020,7,1), J16&lt;=DATE(2021,6,30)), "FY2021",
IF(AND(J16&gt;=DATE(2021,7,1), J16&lt;=DATE(2022,6,30)), "FY2022",
IF(AND(J16&gt;=DATE(2022,7,1), J16&lt;=DATE(2023,6,30)), "FY2023",
IF(AND(J16&gt;=DATE(2023,7,1), J16&lt;=DATE(2024,6,30)), "FY2024",
IF(AND(J16&gt;=DATE(2024,7,1), J16&lt;=DATE(2025,6,30)), "FY2025",
IF(AND(J16&gt;=DATE(2025,7,1), J16&lt;=DATE(2026,6,30)), "FY2026",
IF(AND(J16&gt;=DATE(2026,7,1), J16&lt;=DATE(2027,6,30)), "FY2027",
IF(AND(J16&gt;=DATE(2027,7,1), J16&lt;=DATE(2028,6,30)), "FY2028",
IF(AND(J16&gt;=DATE(2028,7,1), J16&lt;=DATE(2029,6,30)), "FY2029","")))))))))</f>
        <v>FY2027</v>
      </c>
      <c r="L16" s="8">
        <f t="shared" si="0"/>
        <v>90</v>
      </c>
      <c r="M16" s="8">
        <f t="shared" si="1"/>
        <v>90</v>
      </c>
      <c r="N16" s="7"/>
      <c r="O16" s="7"/>
      <c r="P16" s="7"/>
      <c r="Q16" s="7"/>
      <c r="R16" s="7"/>
      <c r="S16" s="7">
        <v>90</v>
      </c>
      <c r="T16" s="7"/>
      <c r="U16" s="7"/>
      <c r="V16" s="7"/>
      <c r="W16" s="6">
        <v>207439.02</v>
      </c>
      <c r="X16" s="16" t="s">
        <v>33</v>
      </c>
      <c r="Y16" s="4" t="s">
        <v>32</v>
      </c>
      <c r="Z16" s="4">
        <v>46068</v>
      </c>
      <c r="AA16" s="4">
        <v>46341</v>
      </c>
      <c r="AB16" s="4">
        <v>47437</v>
      </c>
      <c r="AC16" s="7" t="s">
        <v>28</v>
      </c>
      <c r="AD16" s="3" t="s">
        <v>0</v>
      </c>
    </row>
    <row r="17" spans="1:30" s="3" customFormat="1" x14ac:dyDescent="0.25">
      <c r="A17" s="3" t="s">
        <v>17</v>
      </c>
      <c r="B17" s="3" t="s">
        <v>8</v>
      </c>
      <c r="C17" s="3" t="s">
        <v>7</v>
      </c>
      <c r="D17" s="12" t="s">
        <v>31</v>
      </c>
      <c r="E17" s="12" t="s">
        <v>31</v>
      </c>
      <c r="F17" s="12">
        <v>6</v>
      </c>
      <c r="G17" s="12" t="s">
        <v>30</v>
      </c>
      <c r="H17" s="10" t="s">
        <v>3</v>
      </c>
      <c r="I17" s="3" t="s">
        <v>14</v>
      </c>
      <c r="J17" s="9">
        <v>46386</v>
      </c>
      <c r="K17" s="3" t="str">
        <f>IF(AND(J17&gt;=DATE(2020,7,1), J17&lt;=DATE(2021,6,30)), "FY2021",
IF(AND(J17&gt;=DATE(2021,7,1), J17&lt;=DATE(2022,6,30)), "FY2022",
IF(AND(J17&gt;=DATE(2022,7,1), J17&lt;=DATE(2023,6,30)), "FY2023",
IF(AND(J17&gt;=DATE(2023,7,1), J17&lt;=DATE(2024,6,30)), "FY2024",
IF(AND(J17&gt;=DATE(2024,7,1), J17&lt;=DATE(2025,6,30)), "FY2025",
IF(AND(J17&gt;=DATE(2025,7,1), J17&lt;=DATE(2026,6,30)), "FY2026",
IF(AND(J17&gt;=DATE(2026,7,1), J17&lt;=DATE(2027,6,30)), "FY2027",
IF(AND(J17&gt;=DATE(2027,7,1), J17&lt;=DATE(2028,6,30)), "FY2028",
IF(AND(J17&gt;=DATE(2028,7,1), J17&lt;=DATE(2029,6,30)), "FY2029","")))))))))</f>
        <v>FY2027</v>
      </c>
      <c r="L17" s="8">
        <f t="shared" si="0"/>
        <v>56</v>
      </c>
      <c r="M17" s="8">
        <f t="shared" si="1"/>
        <v>56</v>
      </c>
      <c r="N17" s="7"/>
      <c r="O17" s="7"/>
      <c r="P17" s="7"/>
      <c r="Q17" s="7">
        <v>28</v>
      </c>
      <c r="R17" s="7"/>
      <c r="S17" s="7"/>
      <c r="T17" s="7">
        <v>28</v>
      </c>
      <c r="U17" s="7"/>
      <c r="V17" s="7"/>
      <c r="W17" s="6">
        <v>146143.66</v>
      </c>
      <c r="X17" s="3" t="s">
        <v>29</v>
      </c>
      <c r="Y17" s="15">
        <v>45771</v>
      </c>
      <c r="Z17" s="4">
        <v>45681</v>
      </c>
      <c r="AA17" s="4">
        <v>45954</v>
      </c>
      <c r="AB17" s="4">
        <v>47050</v>
      </c>
      <c r="AC17" s="7" t="s">
        <v>28</v>
      </c>
      <c r="AD17" s="3" t="s">
        <v>0</v>
      </c>
    </row>
    <row r="18" spans="1:30" s="3" customFormat="1" x14ac:dyDescent="0.25">
      <c r="A18" s="3" t="s">
        <v>9</v>
      </c>
      <c r="B18" s="3" t="s">
        <v>8</v>
      </c>
      <c r="C18" s="3" t="s">
        <v>7</v>
      </c>
      <c r="D18" s="12" t="s">
        <v>27</v>
      </c>
      <c r="E18" s="12" t="s">
        <v>27</v>
      </c>
      <c r="F18" s="12">
        <v>9</v>
      </c>
      <c r="G18" s="12" t="s">
        <v>26</v>
      </c>
      <c r="H18" s="10" t="s">
        <v>3</v>
      </c>
      <c r="I18" s="3" t="s">
        <v>2</v>
      </c>
      <c r="J18" s="9">
        <v>46813</v>
      </c>
      <c r="K18" s="3" t="str">
        <f>IF(AND(J18&gt;=DATE(2020,7,1), J18&lt;=DATE(2021,6,30)), "FY2021",
IF(AND(J18&gt;=DATE(2021,7,1), J18&lt;=DATE(2022,6,30)), "FY2022",
IF(AND(J18&gt;=DATE(2022,7,1), J18&lt;=DATE(2023,6,30)), "FY2023",
IF(AND(J18&gt;=DATE(2023,7,1), J18&lt;=DATE(2024,6,30)), "FY2024",
IF(AND(J18&gt;=DATE(2024,7,1), J18&lt;=DATE(2025,6,30)), "FY2025",
IF(AND(J18&gt;=DATE(2025,7,1), J18&lt;=DATE(2026,6,30)), "FY2026",
IF(AND(J18&gt;=DATE(2026,7,1), J18&lt;=DATE(2027,6,30)), "FY2027",
IF(AND(J18&gt;=DATE(2027,7,1), J18&lt;=DATE(2028,6,30)), "FY2028",
IF(AND(J18&gt;=DATE(2028,7,1), J18&lt;=DATE(2029,6,30)), "FY2029","")))))))))</f>
        <v>FY2028</v>
      </c>
      <c r="L18" s="8">
        <f t="shared" si="0"/>
        <v>151</v>
      </c>
      <c r="M18" s="8">
        <f t="shared" si="1"/>
        <v>151</v>
      </c>
      <c r="N18" s="7"/>
      <c r="O18" s="7"/>
      <c r="P18" s="7"/>
      <c r="Q18" s="7"/>
      <c r="R18" s="7"/>
      <c r="S18" s="7">
        <v>151</v>
      </c>
      <c r="T18" s="7"/>
      <c r="U18" s="7"/>
      <c r="V18" s="7"/>
      <c r="W18" s="6">
        <v>370151.88</v>
      </c>
      <c r="X18" s="3" t="s">
        <v>13</v>
      </c>
      <c r="Y18" s="4">
        <v>45904</v>
      </c>
      <c r="Z18" s="4">
        <v>46175</v>
      </c>
      <c r="AA18" s="4">
        <v>46448</v>
      </c>
      <c r="AB18" s="4">
        <v>47544</v>
      </c>
      <c r="AC18" s="4" t="s">
        <v>10</v>
      </c>
      <c r="AD18" s="3" t="s">
        <v>0</v>
      </c>
    </row>
    <row r="19" spans="1:30" s="3" customFormat="1" x14ac:dyDescent="0.25">
      <c r="A19" s="3" t="s">
        <v>17</v>
      </c>
      <c r="B19" s="3" t="s">
        <v>8</v>
      </c>
      <c r="C19" s="3" t="s">
        <v>7</v>
      </c>
      <c r="D19" s="12" t="s">
        <v>25</v>
      </c>
      <c r="E19" s="12" t="s">
        <v>25</v>
      </c>
      <c r="F19" s="12">
        <v>9</v>
      </c>
      <c r="G19" s="12" t="s">
        <v>24</v>
      </c>
      <c r="H19" s="10" t="s">
        <v>3</v>
      </c>
      <c r="I19" s="3" t="s">
        <v>2</v>
      </c>
      <c r="J19" s="9">
        <v>46813</v>
      </c>
      <c r="K19" s="3" t="str">
        <f>IF(AND(J19&gt;=DATE(2020,7,1), J19&lt;=DATE(2021,6,30)), "FY2021",
IF(AND(J19&gt;=DATE(2021,7,1), J19&lt;=DATE(2022,6,30)), "FY2022",
IF(AND(J19&gt;=DATE(2022,7,1), J19&lt;=DATE(2023,6,30)), "FY2023",
IF(AND(J19&gt;=DATE(2023,7,1), J19&lt;=DATE(2024,6,30)), "FY2024",
IF(AND(J19&gt;=DATE(2024,7,1), J19&lt;=DATE(2025,6,30)), "FY2025",
IF(AND(J19&gt;=DATE(2025,7,1), J19&lt;=DATE(2026,6,30)), "FY2026",
IF(AND(J19&gt;=DATE(2026,7,1), J19&lt;=DATE(2027,6,30)), "FY2027",
IF(AND(J19&gt;=DATE(2027,7,1), J19&lt;=DATE(2028,6,30)), "FY2028",
IF(AND(J19&gt;=DATE(2028,7,1), J19&lt;=DATE(2029,6,30)), "FY2029","")))))))))</f>
        <v>FY2028</v>
      </c>
      <c r="L19" s="8">
        <f t="shared" si="0"/>
        <v>236</v>
      </c>
      <c r="M19" s="8">
        <f t="shared" si="1"/>
        <v>236</v>
      </c>
      <c r="N19" s="7"/>
      <c r="O19" s="7"/>
      <c r="P19" s="7"/>
      <c r="Q19" s="7"/>
      <c r="R19" s="7"/>
      <c r="S19" s="7">
        <v>236</v>
      </c>
      <c r="T19" s="7"/>
      <c r="U19" s="7"/>
      <c r="V19" s="7"/>
      <c r="W19" s="6">
        <v>721729.27</v>
      </c>
      <c r="Y19" s="4">
        <v>45637</v>
      </c>
      <c r="Z19" s="4">
        <v>45911</v>
      </c>
      <c r="AA19" s="4">
        <v>46457</v>
      </c>
      <c r="AB19" s="4">
        <v>47553</v>
      </c>
      <c r="AC19" s="7" t="s">
        <v>10</v>
      </c>
      <c r="AD19" s="3" t="s">
        <v>0</v>
      </c>
    </row>
    <row r="20" spans="1:30" s="3" customFormat="1" x14ac:dyDescent="0.25">
      <c r="A20" s="3" t="s">
        <v>9</v>
      </c>
      <c r="B20" s="3" t="s">
        <v>8</v>
      </c>
      <c r="C20" s="3" t="s">
        <v>7</v>
      </c>
      <c r="D20" s="12" t="s">
        <v>23</v>
      </c>
      <c r="E20" s="12" t="s">
        <v>23</v>
      </c>
      <c r="F20" s="12">
        <v>6</v>
      </c>
      <c r="G20" s="12" t="s">
        <v>22</v>
      </c>
      <c r="H20" s="10" t="s">
        <v>3</v>
      </c>
      <c r="I20" s="3" t="s">
        <v>2</v>
      </c>
      <c r="J20" s="9">
        <v>46539</v>
      </c>
      <c r="K20" s="3" t="str">
        <f>IF(AND(J20&gt;=DATE(2020,7,1), J20&lt;=DATE(2021,6,30)), "FY2021",
IF(AND(J20&gt;=DATE(2021,7,1), J20&lt;=DATE(2022,6,30)), "FY2022",
IF(AND(J20&gt;=DATE(2022,7,1), J20&lt;=DATE(2023,6,30)), "FY2023",
IF(AND(J20&gt;=DATE(2023,7,1), J20&lt;=DATE(2024,6,30)), "FY2024",
IF(AND(J20&gt;=DATE(2024,7,1), J20&lt;=DATE(2025,6,30)), "FY2025",
IF(AND(J20&gt;=DATE(2025,7,1), J20&lt;=DATE(2026,6,30)), "FY2026",
IF(AND(J20&gt;=DATE(2026,7,1), J20&lt;=DATE(2027,6,30)), "FY2027",
IF(AND(J20&gt;=DATE(2027,7,1), J20&lt;=DATE(2028,6,30)), "FY2028",
IF(AND(J20&gt;=DATE(2028,7,1), J20&lt;=DATE(2029,6,30)), "FY2029","")))))))))</f>
        <v>FY2027</v>
      </c>
      <c r="L20" s="8">
        <f t="shared" si="0"/>
        <v>60</v>
      </c>
      <c r="M20" s="8">
        <f t="shared" si="1"/>
        <v>60</v>
      </c>
      <c r="N20" s="7"/>
      <c r="O20" s="7"/>
      <c r="P20" s="7"/>
      <c r="Q20" s="7"/>
      <c r="R20" s="7"/>
      <c r="S20" s="7">
        <v>60</v>
      </c>
      <c r="T20" s="7"/>
      <c r="U20" s="7"/>
      <c r="V20" s="7"/>
      <c r="W20" s="6">
        <v>134165.32</v>
      </c>
      <c r="Y20" s="4">
        <v>45923</v>
      </c>
      <c r="Z20" s="4">
        <v>46196</v>
      </c>
      <c r="AA20" s="4">
        <v>46469</v>
      </c>
      <c r="AB20" s="4">
        <v>47565</v>
      </c>
      <c r="AC20" s="4" t="s">
        <v>10</v>
      </c>
      <c r="AD20" s="3" t="s">
        <v>0</v>
      </c>
    </row>
    <row r="21" spans="1:30" s="3" customFormat="1" x14ac:dyDescent="0.25">
      <c r="A21" s="3" t="s">
        <v>9</v>
      </c>
      <c r="B21" s="3" t="s">
        <v>8</v>
      </c>
      <c r="C21" s="3" t="s">
        <v>7</v>
      </c>
      <c r="D21" s="12" t="s">
        <v>21</v>
      </c>
      <c r="E21" s="12" t="s">
        <v>21</v>
      </c>
      <c r="F21" s="12">
        <v>6</v>
      </c>
      <c r="G21" s="12" t="s">
        <v>20</v>
      </c>
      <c r="H21" s="10" t="s">
        <v>3</v>
      </c>
      <c r="I21" s="3" t="s">
        <v>2</v>
      </c>
      <c r="J21" s="9">
        <v>46600</v>
      </c>
      <c r="K21" s="3" t="str">
        <f>IF(AND(J21&gt;=DATE(2020,7,1), J21&lt;=DATE(2021,6,30)), "FY2021",
IF(AND(J21&gt;=DATE(2021,7,1), J21&lt;=DATE(2022,6,30)), "FY2022",
IF(AND(J21&gt;=DATE(2022,7,1), J21&lt;=DATE(2023,6,30)), "FY2023",
IF(AND(J21&gt;=DATE(2023,7,1), J21&lt;=DATE(2024,6,30)), "FY2024",
IF(AND(J21&gt;=DATE(2024,7,1), J21&lt;=DATE(2025,6,30)), "FY2025",
IF(AND(J21&gt;=DATE(2025,7,1), J21&lt;=DATE(2026,6,30)), "FY2026",
IF(AND(J21&gt;=DATE(2026,7,1), J21&lt;=DATE(2027,6,30)), "FY2027",
IF(AND(J21&gt;=DATE(2027,7,1), J21&lt;=DATE(2028,6,30)), "FY2028",
IF(AND(J21&gt;=DATE(2028,7,1), J21&lt;=DATE(2029,6,30)), "FY2029","")))))))))</f>
        <v>FY2028</v>
      </c>
      <c r="L21" s="8">
        <f t="shared" si="0"/>
        <v>112</v>
      </c>
      <c r="M21" s="8">
        <f t="shared" si="1"/>
        <v>112</v>
      </c>
      <c r="N21" s="7"/>
      <c r="O21" s="7"/>
      <c r="P21" s="7"/>
      <c r="Q21" s="7"/>
      <c r="R21" s="7"/>
      <c r="S21" s="7">
        <v>112</v>
      </c>
      <c r="T21" s="7"/>
      <c r="U21" s="7"/>
      <c r="V21" s="7"/>
      <c r="W21" s="6">
        <v>300002.65999999997</v>
      </c>
      <c r="Y21" s="4">
        <v>45923</v>
      </c>
      <c r="Z21" s="4">
        <v>46196</v>
      </c>
      <c r="AA21" s="4">
        <v>46469</v>
      </c>
      <c r="AB21" s="4">
        <v>47565</v>
      </c>
      <c r="AC21" s="4" t="s">
        <v>10</v>
      </c>
      <c r="AD21" s="3" t="s">
        <v>0</v>
      </c>
    </row>
    <row r="22" spans="1:30" s="3" customFormat="1" x14ac:dyDescent="0.25">
      <c r="A22" s="3" t="s">
        <v>17</v>
      </c>
      <c r="B22" s="3" t="s">
        <v>8</v>
      </c>
      <c r="C22" s="3" t="s">
        <v>7</v>
      </c>
      <c r="D22" s="12" t="s">
        <v>19</v>
      </c>
      <c r="E22" s="12" t="s">
        <v>19</v>
      </c>
      <c r="F22" s="12">
        <v>5</v>
      </c>
      <c r="G22" s="12" t="s">
        <v>18</v>
      </c>
      <c r="H22" s="10" t="s">
        <v>3</v>
      </c>
      <c r="I22" s="3" t="s">
        <v>2</v>
      </c>
      <c r="J22" s="9">
        <v>46600</v>
      </c>
      <c r="K22" s="3" t="str">
        <f>IF(AND(J22&gt;=DATE(2020,7,1), J22&lt;=DATE(2021,6,30)), "FY2021",
IF(AND(J22&gt;=DATE(2021,7,1), J22&lt;=DATE(2022,6,30)), "FY2022",
IF(AND(J22&gt;=DATE(2022,7,1), J22&lt;=DATE(2023,6,30)), "FY2023",
IF(AND(J22&gt;=DATE(2023,7,1), J22&lt;=DATE(2024,6,30)), "FY2024",
IF(AND(J22&gt;=DATE(2024,7,1), J22&lt;=DATE(2025,6,30)), "FY2025",
IF(AND(J22&gt;=DATE(2025,7,1), J22&lt;=DATE(2026,6,30)), "FY2026",
IF(AND(J22&gt;=DATE(2026,7,1), J22&lt;=DATE(2027,6,30)), "FY2027",
IF(AND(J22&gt;=DATE(2027,7,1), J22&lt;=DATE(2028,6,30)), "FY2028",
IF(AND(J22&gt;=DATE(2028,7,1), J22&lt;=DATE(2029,6,30)), "FY2029","")))))))))</f>
        <v>FY2028</v>
      </c>
      <c r="L22" s="8">
        <f t="shared" si="0"/>
        <v>20</v>
      </c>
      <c r="M22" s="8">
        <f t="shared" si="1"/>
        <v>20</v>
      </c>
      <c r="N22" s="7">
        <v>2</v>
      </c>
      <c r="O22" s="7">
        <v>8</v>
      </c>
      <c r="P22" s="7">
        <v>10</v>
      </c>
      <c r="Q22" s="7"/>
      <c r="R22" s="7"/>
      <c r="S22" s="7"/>
      <c r="T22" s="7"/>
      <c r="U22" s="7"/>
      <c r="V22" s="7"/>
      <c r="W22" s="6">
        <v>93306.69</v>
      </c>
      <c r="Y22" s="4">
        <v>45793</v>
      </c>
      <c r="Z22" s="4">
        <v>46069</v>
      </c>
      <c r="AA22" s="4">
        <v>46342</v>
      </c>
      <c r="AB22" s="4">
        <v>48168</v>
      </c>
      <c r="AC22" s="7" t="s">
        <v>10</v>
      </c>
      <c r="AD22" s="3" t="s">
        <v>0</v>
      </c>
    </row>
    <row r="23" spans="1:30" s="3" customFormat="1" x14ac:dyDescent="0.25">
      <c r="A23" s="3" t="s">
        <v>17</v>
      </c>
      <c r="B23" s="3" t="s">
        <v>8</v>
      </c>
      <c r="C23" s="3" t="s">
        <v>7</v>
      </c>
      <c r="D23" s="12" t="s">
        <v>16</v>
      </c>
      <c r="E23" s="12" t="s">
        <v>16</v>
      </c>
      <c r="F23" s="12">
        <v>6</v>
      </c>
      <c r="G23" s="12" t="s">
        <v>15</v>
      </c>
      <c r="H23" s="10" t="s">
        <v>3</v>
      </c>
      <c r="I23" s="3" t="s">
        <v>14</v>
      </c>
      <c r="J23" s="9">
        <v>46447</v>
      </c>
      <c r="K23" s="3" t="str">
        <f>IF(AND(J23&gt;=DATE(2020,7,1), J23&lt;=DATE(2021,6,30)), "FY2021",
IF(AND(J23&gt;=DATE(2021,7,1), J23&lt;=DATE(2022,6,30)), "FY2022",
IF(AND(J23&gt;=DATE(2022,7,1), J23&lt;=DATE(2023,6,30)), "FY2023",
IF(AND(J23&gt;=DATE(2023,7,1), J23&lt;=DATE(2024,6,30)), "FY2024",
IF(AND(J23&gt;=DATE(2024,7,1), J23&lt;=DATE(2025,6,30)), "FY2025",
IF(AND(J23&gt;=DATE(2025,7,1), J23&lt;=DATE(2026,6,30)), "FY2026",
IF(AND(J23&gt;=DATE(2026,7,1), J23&lt;=DATE(2027,6,30)), "FY2027",
IF(AND(J23&gt;=DATE(2027,7,1), J23&lt;=DATE(2028,6,30)), "FY2028",
IF(AND(J23&gt;=DATE(2028,7,1), J23&lt;=DATE(2029,6,30)), "FY2029","")))))))))</f>
        <v>FY2027</v>
      </c>
      <c r="L23" s="8">
        <f t="shared" si="0"/>
        <v>80</v>
      </c>
      <c r="M23" s="8">
        <f t="shared" si="1"/>
        <v>80</v>
      </c>
      <c r="N23" s="7">
        <v>15</v>
      </c>
      <c r="O23" s="7">
        <v>25</v>
      </c>
      <c r="P23" s="7">
        <v>40</v>
      </c>
      <c r="Q23" s="7"/>
      <c r="R23" s="7"/>
      <c r="S23" s="7"/>
      <c r="T23" s="7"/>
      <c r="U23" s="7"/>
      <c r="V23" s="7"/>
      <c r="W23" s="6">
        <v>350666.79</v>
      </c>
      <c r="X23" s="3" t="s">
        <v>13</v>
      </c>
      <c r="Y23" s="4">
        <v>45797</v>
      </c>
      <c r="Z23" s="14">
        <v>46162</v>
      </c>
      <c r="AA23" s="14">
        <v>46527</v>
      </c>
      <c r="AB23" s="4">
        <v>48354</v>
      </c>
      <c r="AC23" s="7" t="s">
        <v>10</v>
      </c>
      <c r="AD23" s="3" t="s">
        <v>0</v>
      </c>
    </row>
    <row r="24" spans="1:30" s="3" customFormat="1" ht="90" x14ac:dyDescent="0.25">
      <c r="A24" s="3" t="s">
        <v>9</v>
      </c>
      <c r="B24" s="3" t="s">
        <v>8</v>
      </c>
      <c r="C24" s="3" t="s">
        <v>7</v>
      </c>
      <c r="D24" s="12" t="s">
        <v>12</v>
      </c>
      <c r="E24" s="12" t="s">
        <v>12</v>
      </c>
      <c r="F24" s="12">
        <v>5</v>
      </c>
      <c r="G24" s="11" t="s">
        <v>11</v>
      </c>
      <c r="H24" s="10" t="s">
        <v>3</v>
      </c>
      <c r="I24" s="3" t="s">
        <v>2</v>
      </c>
      <c r="J24" s="9">
        <v>46692</v>
      </c>
      <c r="K24" s="3" t="str">
        <f>IF(AND(J24&gt;=DATE(2020,7,1), J24&lt;=DATE(2021,6,30)), "FY2021",
IF(AND(J24&gt;=DATE(2021,7,1), J24&lt;=DATE(2022,6,30)), "FY2022",
IF(AND(J24&gt;=DATE(2022,7,1), J24&lt;=DATE(2023,6,30)), "FY2023",
IF(AND(J24&gt;=DATE(2023,7,1), J24&lt;=DATE(2024,6,30)), "FY2024",
IF(AND(J24&gt;=DATE(2024,7,1), J24&lt;=DATE(2025,6,30)), "FY2025",
IF(AND(J24&gt;=DATE(2025,7,1), J24&lt;=DATE(2026,6,30)), "FY2026",
IF(AND(J24&gt;=DATE(2026,7,1), J24&lt;=DATE(2027,6,30)), "FY2027",
IF(AND(J24&gt;=DATE(2027,7,1), J24&lt;=DATE(2028,6,30)), "FY2028",
IF(AND(J24&gt;=DATE(2028,7,1), J24&lt;=DATE(2029,6,30)), "FY2029","")))))))))</f>
        <v>FY2028</v>
      </c>
      <c r="L24" s="8">
        <f t="shared" si="0"/>
        <v>246</v>
      </c>
      <c r="M24" s="8">
        <f t="shared" si="1"/>
        <v>246</v>
      </c>
      <c r="N24" s="7"/>
      <c r="O24" s="7"/>
      <c r="P24" s="7"/>
      <c r="Q24" s="7"/>
      <c r="R24" s="7"/>
      <c r="S24" s="7">
        <v>246</v>
      </c>
      <c r="T24" s="7"/>
      <c r="U24" s="7"/>
      <c r="V24" s="7"/>
      <c r="W24" s="13">
        <v>677945.46</v>
      </c>
      <c r="Y24" s="4">
        <v>45951</v>
      </c>
      <c r="Z24" s="4">
        <v>46224</v>
      </c>
      <c r="AA24" s="4">
        <v>46498</v>
      </c>
      <c r="AB24" s="4">
        <v>47594</v>
      </c>
      <c r="AC24" s="4" t="s">
        <v>10</v>
      </c>
      <c r="AD24" s="3" t="s">
        <v>0</v>
      </c>
    </row>
    <row r="25" spans="1:30" s="3" customFormat="1" x14ac:dyDescent="0.25">
      <c r="A25" s="3" t="s">
        <v>9</v>
      </c>
      <c r="B25" s="3" t="s">
        <v>8</v>
      </c>
      <c r="C25" s="3" t="s">
        <v>7</v>
      </c>
      <c r="D25" s="12" t="s">
        <v>6</v>
      </c>
      <c r="E25" s="12" t="s">
        <v>5</v>
      </c>
      <c r="F25" s="12">
        <v>9</v>
      </c>
      <c r="G25" s="11" t="s">
        <v>4</v>
      </c>
      <c r="H25" s="10" t="s">
        <v>3</v>
      </c>
      <c r="I25" s="3" t="s">
        <v>2</v>
      </c>
      <c r="J25" s="9">
        <v>46966</v>
      </c>
      <c r="K25" s="3" t="str">
        <f>IF(AND(J25&gt;=DATE(2020,7,1), J25&lt;=DATE(2021,6,30)), "FY2021",
IF(AND(J25&gt;=DATE(2021,7,1), J25&lt;=DATE(2022,6,30)), "FY2022",
IF(AND(J25&gt;=DATE(2022,7,1), J25&lt;=DATE(2023,6,30)), "FY2023",
IF(AND(J25&gt;=DATE(2023,7,1), J25&lt;=DATE(2024,6,30)), "FY2024",
IF(AND(J25&gt;=DATE(2024,7,1), J25&lt;=DATE(2025,6,30)), "FY2025",
IF(AND(J25&gt;=DATE(2025,7,1), J25&lt;=DATE(2026,6,30)), "FY2026",
IF(AND(J25&gt;=DATE(2026,7,1), J25&lt;=DATE(2027,6,30)), "FY2027",
IF(AND(J25&gt;=DATE(2027,7,1), J25&lt;=DATE(2028,6,30)), "FY2028",
IF(AND(J25&gt;=DATE(2028,7,1), J25&lt;=DATE(2029,6,30)), "FY2029","")))))))))</f>
        <v>FY2029</v>
      </c>
      <c r="L25" s="8">
        <f t="shared" si="0"/>
        <v>180</v>
      </c>
      <c r="M25" s="8">
        <f t="shared" si="1"/>
        <v>180</v>
      </c>
      <c r="N25" s="7"/>
      <c r="O25" s="7"/>
      <c r="P25" s="7"/>
      <c r="Q25" s="7"/>
      <c r="R25" s="7"/>
      <c r="S25" s="7">
        <v>180</v>
      </c>
      <c r="T25" s="7"/>
      <c r="U25" s="7"/>
      <c r="V25" s="7"/>
      <c r="W25" s="6">
        <v>497284.15</v>
      </c>
      <c r="Y25" s="5">
        <v>45964</v>
      </c>
      <c r="Z25" s="4">
        <v>45872</v>
      </c>
      <c r="AA25" s="4">
        <v>46145</v>
      </c>
      <c r="AB25" s="4">
        <v>47241</v>
      </c>
      <c r="AC25" s="4" t="s">
        <v>1</v>
      </c>
      <c r="AD25" s="3" t="s">
        <v>0</v>
      </c>
    </row>
    <row r="26" spans="1:30" x14ac:dyDescent="0.25">
      <c r="AD26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f56d663-141b-4418-b66c-326033ab9ce1}" enabled="0" method="" siteId="{3f56d663-141b-4418-b66c-326033ab9c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Hightman, Rachel A. - HCD</dc:creator>
  <cp:lastModifiedBy>Hightman, Rachel A. - HCD</cp:lastModifiedBy>
  <dcterms:created xsi:type="dcterms:W3CDTF">2026-03-24T20:27:08Z</dcterms:created>
  <dcterms:modified xsi:type="dcterms:W3CDTF">2026-03-25T13:45:14Z</dcterms:modified>
</cp:coreProperties>
</file>